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2"/>
  <workbookPr/>
  <mc:AlternateContent xmlns:mc="http://schemas.openxmlformats.org/markup-compatibility/2006">
    <mc:Choice Requires="x15">
      <x15ac:absPath xmlns:x15ac="http://schemas.microsoft.com/office/spreadsheetml/2010/11/ac" url="https://studenthelmobe-my.sharepoint.com/personal/m_deantoni_helmo_be/Documents/WebDev/EVAL_2025/IN - Bloc1 - UE06 - DevWeb-Dépôt EVAL_V1-1I1-291242/"/>
    </mc:Choice>
  </mc:AlternateContent>
  <xr:revisionPtr revIDLastSave="21" documentId="13_ncr:1_{28B27063-BDBE-4753-8E99-D48EDA1FC8C1}" xr6:coauthVersionLast="47" xr6:coauthVersionMax="47" xr10:uidLastSave="{A278DA97-8A1F-3849-8F59-F57032FED1F2}"/>
  <bookViews>
    <workbookView xWindow="0" yWindow="0" windowWidth="38400" windowHeight="21600" tabRatio="479" xr2:uid="{00000000-000D-0000-FFFF-FFFF00000000}"/>
  </bookViews>
  <sheets>
    <sheet name="Grille EVAL_V1"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E27" i="3"/>
  <c r="E84" i="3"/>
  <c r="E90" i="3" s="1"/>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6" i="3"/>
  <c r="E25" i="3"/>
  <c r="E24" i="3"/>
  <c r="E23" i="3"/>
  <c r="A19" i="3"/>
  <c r="E76" i="3" l="1"/>
  <c r="E89" i="3" s="1"/>
  <c r="E91" i="3" s="1"/>
</calcChain>
</file>

<file path=xl/sharedStrings.xml><?xml version="1.0" encoding="utf-8"?>
<sst xmlns="http://schemas.openxmlformats.org/spreadsheetml/2006/main" count="119" uniqueCount="107">
  <si>
    <t>Grille d'Évaluation : EVAL_V1</t>
  </si>
  <si>
    <t>Note importante : Une justification est obligatoire pour tout critère non validé de la Section 2 et pour chaque critère de la Section 3.</t>
  </si>
  <si>
    <t>Projet:</t>
  </si>
  <si>
    <t>Plateforme d'Événement (MVP)</t>
  </si>
  <si>
    <t>Évaluation:</t>
  </si>
  <si>
    <t>EVAL_V1 - Conception et Structure</t>
  </si>
  <si>
    <t>Date limite:</t>
  </si>
  <si>
    <t>27 octobre 2025 23h55</t>
  </si>
  <si>
    <t>Nom et prénom de l'étudiant:</t>
  </si>
  <si>
    <t>Matricule:</t>
  </si>
  <si>
    <t>Section 1 : Critères de Recevabilité</t>
  </si>
  <si>
    <r>
      <rPr>
        <sz val="16"/>
        <color rgb="FF000000"/>
        <rFont val="Calibri"/>
      </rPr>
      <t xml:space="preserve">Si un seul de ces critères n'est pas respecté, le travail est considéré comme non recevable et la note finale sera de </t>
    </r>
    <r>
      <rPr>
        <sz val="16"/>
        <color rgb="FFE26B0A"/>
        <rFont val="Calibri"/>
      </rPr>
      <t>0/20.</t>
    </r>
  </si>
  <si>
    <t>Critère</t>
  </si>
  <si>
    <t>Justification / Commentaire</t>
  </si>
  <si>
    <t>Validé</t>
  </si>
  <si>
    <t>Dépôt réalisé dans les délais (date de dernière modification 27 octobre à 23h55)</t>
  </si>
  <si>
    <t>Url correcte, le fichier `index.html` doit-être déposé dans le dossier \public_html\EVAL_V1 sur Panoramix</t>
  </si>
  <si>
    <t>L'archive contient les wireframes pour toutes les 7 pages demandées.</t>
  </si>
  <si>
    <t>Le fichier `index.html` respecte bien les maquettes en terme de contenu.</t>
  </si>
  <si>
    <t>Ce document d'auto-évaluation est bien complété et ne contient pas plus de 3 inexactitudes.</t>
  </si>
  <si>
    <t>Section 2 : Checklist Fonctionnelle</t>
  </si>
  <si>
    <t>Livrable Principal</t>
  </si>
  <si>
    <t>Sous-Tâche à Réaliser</t>
  </si>
  <si>
    <t>Commentaires</t>
  </si>
  <si>
    <t>Note</t>
  </si>
  <si>
    <t>Composant Global : En-tête (Header)</t>
  </si>
  <si>
    <t>La structure est conçue pour être identique et réutilisable sur toutes les pages.</t>
  </si>
  <si>
    <t>Un emplacement pour le logo de l'événement est clairement défini.</t>
  </si>
  <si>
    <t>La navigation principale, en mode visiteur, comprend des liens vers l'accueil, la page Artistes, la page Prestations, la page Contact.</t>
  </si>
  <si>
    <t>Composant Global : Pied de page (Footer)</t>
  </si>
  <si>
    <t>Une zone distincte en bas de page est clairement identifiée comme le pied de page (`&lt;footer&gt;`).</t>
  </si>
  <si>
    <t>Le pied de page contient le nom de l'événement et une mention de copyright fictive (ex: "© 2025 Mon Festival").</t>
  </si>
  <si>
    <t>Maquette 1 : Page d'Accueil (UC-A.4)</t>
  </si>
  <si>
    <t>Un titre de page principal est présent (ex: "Programme de la Journée").</t>
  </si>
  <si>
    <t>Un court bloc de texte est présent pour la brève présentation de l'événement.</t>
  </si>
  <si>
    <t>La maquette représente le programme sous forme de grille ou de tableau.</t>
  </si>
  <si>
    <t>La première ligne sert d'en-tête et contient les noms des différentes scènes dans les colonnes.</t>
  </si>
  <si>
    <t>La première colonne identifie les créneaux horaires (ex: "14h00"), triés par ordre chronologique.</t>
  </si>
  <si>
    <t xml:space="preserve"> La grille affiche uniquement les lignes horaire où au moins une prestation est programmée (pas de lignes entièrement vides).</t>
  </si>
  <si>
    <t>Pour une prestation programmée, est affiché dans l'horaire le titre de la prestation et le nom de l'artiste. Cf. Cahier des charges.</t>
  </si>
  <si>
    <t>Maquette 2 : Page "Artistes" (UC-A.5)</t>
  </si>
  <si>
    <t>Un titre de page clair est présent (ex: "Découvrez nos Artistes").</t>
  </si>
  <si>
    <t>La liste des artistes est présentée sous forme de grille multicolonnes, permettant un affichage côte à côte sur écran large, et comporte un nombre suffisant de vignettes (au moins 3 ou 4) pour simuler une galerie réelle et vérifier la cohérence de l’alignement.</t>
  </si>
  <si>
    <t>La maquette montre explicitement le cas d'un artiste programmé (avec les détails de sa programmation) ET le cas d'un artiste non programmé pour visualiser la différence.</t>
  </si>
  <si>
    <t>Chaque vignette d’artiste est conçue comme un bloc visuel distinct (carte avec bordure ou ombre) et comprend la photo et le nom de l'artiste.</t>
  </si>
  <si>
    <t>Pour la vignette de l’artiste programmé, en plus de la photo et du nom, une section dédiée à sa programmation est visible et présente la liste de ses prestations planifiées.</t>
  </si>
  <si>
    <t>Pour chaque prestation dans cette liste, le créneau horaire, le nom de la scène et le nom de l'artiste sont visibles (ex: "14h - Scène Principale - Marionnettes").</t>
  </si>
  <si>
    <t>Maquette 3 : Page "Profil d'un Artiste" (UC-A.5)</t>
  </si>
  <si>
    <t>Un titre de page est présent, incluant le nom de l'artiste (ex: "Profil de : Les Répétiteurs").</t>
  </si>
  <si>
    <t>La photo de l'artiste est affichée en grand format.</t>
  </si>
  <si>
    <t>Les informations textuelles complètes de l'artiste sont visibles : nom, prénom, nom d'artiste, description/biographie.</t>
  </si>
  <si>
    <t>Un sous-titre clair sépare les informations de l'artiste de son catalogue (ex: "Ses Prestations").</t>
  </si>
  <si>
    <t>La liste des prestations est présentée sous forme de grille multicolonnes, permettant un affichage côte à côte sur écran large, et comporte un nombre suffisant de prestations pour simuler une galerie réelle et vérifier la cohérence de l’alignement.</t>
  </si>
  <si>
    <t>La maquette illustre les deux cas de figure pour les prestations listées : au moins une prestation programmée et une prestation non programmée.</t>
  </si>
  <si>
    <t>Chaque vignette de prestation est conçue comme un bloc visuel distinct  et comprend l'image et le titre de la prestation.</t>
  </si>
  <si>
    <t>Si la prestation est programmée,  l'heure/les heures,  le nom de la/des scène(s) sont visibles.</t>
  </si>
  <si>
    <t>Maquette 4 : Page "Prestations" (UC-A.6)</t>
  </si>
  <si>
    <t>Un titre de page clair est présent (ex: "Catalogue des Prestations").</t>
  </si>
  <si>
    <t>Le formulaire de recherche contient un champ de saisie de texte pour la recherche par mot-clé et un libellé représentatif.</t>
  </si>
  <si>
    <t>Le formulaire de recherche contient une  liste déroulante pour filtrer par artiste. et un libellé représentatif.</t>
  </si>
  <si>
    <t>Le formulaire de recherche contient une  liste déroulante pour filtrer par catégorie. et un libellé représentatif.</t>
  </si>
  <si>
    <t>Chaque vignette de prestation est conçue comme un bloc visuel distinct  et comprend l'image et le titre de la prestation et le nom de l'artiste qui la propose.</t>
  </si>
  <si>
    <t>Maquette 5 : Espace Artiste - Tableau de Bord (UC-C.4)</t>
  </si>
  <si>
    <t>Un titre de page clair est présent (ex: "Mon Tableau de Bord").</t>
  </si>
  <si>
    <t>Résumé Profil : Contient la photo de profil et le nom de l'artiste.</t>
  </si>
  <si>
    <t>Programmation : Une liste simple des prestations programmées est affichée (Heure, Scène, Titre).</t>
  </si>
  <si>
    <t>Maquette 6 : Espace Organisateur - Gestion du Programme (UC-D.1 &amp; D.2)</t>
  </si>
  <si>
    <t>Espace Orga : Un titre de page clair est présent (ex: "Gestion du Programme").</t>
  </si>
  <si>
    <t>Espace Orga : La possibilité  "Planifier une prestation" est présente et clairement visible.</t>
  </si>
  <si>
    <t>Grille Programme : La structure est identique à celle de la page d'accueil (Maquette 1).</t>
  </si>
  <si>
    <t>Cellule d'événement : Le contenu est identique à la vue publique (Titre, Nom artiste).</t>
  </si>
  <si>
    <t>Cellule d'événement : Contient un bouton/icône pour "Déprogrammer".</t>
  </si>
  <si>
    <t>Maquette 7 : Assistant de Planification - Étape 1 (UC-D.1)</t>
  </si>
  <si>
    <t>Assistant Planif. : Le titre indique "Étape 1/3 : Choisissez un créneau horaire".</t>
  </si>
  <si>
    <t>Assistant Planif. : L'unique champ est une liste déroulante avec le libellé "*Heure".</t>
  </si>
  <si>
    <t>Assistant Planif. : La possibilité de passer à l'étape suivante est présente et clairement visible.</t>
  </si>
  <si>
    <t>Assistant Planif. : La possibilité d'annuler est présente et clairement visible.</t>
  </si>
  <si>
    <t>POINTS TOTAUX FONCTIONNELS</t>
  </si>
  <si>
    <t>Section 3 : Évaluation Qualitative</t>
  </si>
  <si>
    <r>
      <rPr>
        <sz val="16"/>
        <color rgb="FF000000"/>
        <rFont val="Calibri"/>
        <scheme val="minor"/>
      </rPr>
      <t>Cette section évalue la qualité globale du projet.</t>
    </r>
    <r>
      <rPr>
        <sz val="16"/>
        <color rgb="FFE26B0A"/>
        <rFont val="Calibri"/>
        <scheme val="minor"/>
      </rPr>
      <t xml:space="preserve"> Une justification est obligatoire pour chaque critère.</t>
    </r>
  </si>
  <si>
    <t>Justification / Feedback</t>
  </si>
  <si>
    <t>Clarté et Ergonomie des Wireframes.</t>
  </si>
  <si>
    <t>Qualité de la Sémantique HTML (`index.html`).</t>
  </si>
  <si>
    <t>Validation W3C du fichier `index.html`.</t>
  </si>
  <si>
    <t>POINTS TOTAUX QUALITATIFS</t>
  </si>
  <si>
    <t>Synthèse &amp; Note Finale</t>
  </si>
  <si>
    <t>Condition de réussite : La note finale est de 0/20 si tous les critères de recevabilité ne sont pas validés. La note est plafonnée à 7/20 si la note de la Section 2 OU de la Section 3 est inférieure à 10/20. Si les deux notes sont suppérieures à 10, alors la note finale est la moyenne.</t>
  </si>
  <si>
    <t>Section</t>
  </si>
  <si>
    <t>Note Fonctionnelle</t>
  </si>
  <si>
    <t>Note Qualitative</t>
  </si>
  <si>
    <t>NOTE FINALE</t>
  </si>
  <si>
    <t>Url eval :</t>
  </si>
  <si>
    <t>En mode visiteur, lien(s) pour la Connexion / Inscription sont présents</t>
  </si>
  <si>
    <t>En mode connecté, le nom/prenom de l'utilisateur et la possibilité de se déconnecter sont présents.</t>
  </si>
  <si>
    <t>Une zone de filtre est positionnée en haut de la page, avant la liste des artistes et contient un unique élément interactif : une case à cocher, suivi d'un libellé représentatif.</t>
  </si>
  <si>
    <t>La maquette  comporte  au minimum une vignette illustrant une prestation programmée et une non programmée.</t>
  </si>
  <si>
    <t>La possibilité "Éditer mon profil" est présente et clairement visible.</t>
  </si>
  <si>
    <t>La possibilité "Gérer mon catalogue de prestations" est présente et clairement visible.</t>
  </si>
  <si>
    <t>Le formulaire de recherche contient une case à cocher avec un libellé représentatif.</t>
  </si>
  <si>
    <t>La maquette montre des cellules vides pour les scènes qui sont libres sur un créneau horaire.</t>
  </si>
  <si>
    <t>Règle de Notation : La note est calculée sur la base des 53 éléments ci-dessous. Pour obtenir 10/20, un minimum de 40 éléments (75%) doit être validé. En dessous, la note est de 0. Entre 40 et 53 éléments, la note augmente de façon linéaire de 10 à 20.</t>
  </si>
  <si>
    <t>Ouazouz Sami</t>
  </si>
  <si>
    <t>q250067</t>
  </si>
  <si>
    <t>Aucune erreur détectée</t>
  </si>
  <si>
    <t>Option manquante</t>
  </si>
  <si>
    <t xml:space="preserve">Une seule prestation est modelisée </t>
  </si>
  <si>
    <t>Ton travail est propre et bien structuré, et tu as déjà intégré beaucoup d’éléments importants du cahier des charges, ce qui montre que tu avances dans la bonne direction. Il reste toutefois quelques points à clarifier : certaines options clés manquent encore (par exemple la différence entre un artiste programmé et non programmé, ou entre une prestation programmée et non programmée), et certaines sections ne modélisent qu’un seul exemple alors qu’il en faudrait plusieurs pour vérifier la mise en page. Ce sont des ajustements normaux à ce stade, et l’essentiel est là : avec quelques compléments et un peu plus de variété dans les contenus illustrés, ta maquette deviendra rapidement complète et conforme aux attentes.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</si>
</sst>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1&quot;"/>
    <numFmt numFmtId="165" formatCode="0.0&quot;/20&quot;"/>
    <numFmt numFmtId="166" formatCode="0&quot;/8&quot;"/>
    <numFmt numFmtId="167" formatCode="0&quot;/4&quot;"/>
    <numFmt numFmtId="168" formatCode="0&quot;/20&quot;"/>
  </numFmts>
  <fonts count="19" x14ac:knownFonts="1">
    <font>
      <sz val="11"/>
      <color theme="1"/>
      <name val="Calibri"/>
      <family val="2"/>
      <scheme val="minor"/>
    </font>
    <font>
      <b/>
      <sz val="16"/>
      <color rgb="FFFFFFFF"/>
      <name val="Calibri"/>
    </font>
    <font>
      <b/>
      <sz val="11"/>
      <name val="Calibri"/>
    </font>
    <font>
      <b/>
      <sz val="14"/>
      <color rgb="FFFFFFFF"/>
      <name val="Calibri"/>
    </font>
    <font>
      <b/>
      <sz val="11"/>
      <color rgb="FF0000FF"/>
      <name val="Calibri"/>
    </font>
    <font>
      <b/>
      <sz val="16"/>
      <color rgb="FFFF0000"/>
      <name val="Calibri"/>
      <scheme val="minor"/>
    </font>
    <font>
      <b/>
      <sz val="12"/>
      <name val="Calibri"/>
    </font>
    <font>
      <sz val="12"/>
      <color theme="1"/>
      <name val="Calibri"/>
      <family val="2"/>
      <scheme val="minor"/>
    </font>
    <font>
      <sz val="13"/>
      <color theme="1"/>
      <name val="Calibri"/>
      <family val="2"/>
      <scheme val="minor"/>
    </font>
    <font>
      <i/>
      <sz val="11"/>
      <color theme="1"/>
      <name val="Calibri"/>
      <family val="2"/>
      <scheme val="minor"/>
    </font>
    <font>
      <i/>
      <sz val="11"/>
      <color rgb="FFFF0000"/>
      <name val="Calibri"/>
    </font>
    <font>
      <sz val="16"/>
      <color rgb="FF000000"/>
      <name val="Calibri"/>
      <scheme val="minor"/>
    </font>
    <font>
      <sz val="11"/>
      <color rgb="FF0000FF"/>
      <name val="Calibri"/>
      <family val="2"/>
      <scheme val="minor"/>
    </font>
    <font>
      <sz val="16"/>
      <color rgb="FF000000"/>
      <name val="Calibri"/>
    </font>
    <font>
      <sz val="16"/>
      <color rgb="FFE26B0A"/>
      <name val="Calibri"/>
    </font>
    <font>
      <sz val="16"/>
      <color theme="1"/>
      <name val="Calibri"/>
      <family val="2"/>
      <scheme val="minor"/>
    </font>
    <font>
      <sz val="16"/>
      <color rgb="FFFF0000"/>
      <name val="Calibri"/>
      <family val="2"/>
      <scheme val="minor"/>
    </font>
    <font>
      <sz val="16"/>
      <color rgb="FFE26B0A"/>
      <name val="Calibri"/>
      <scheme val="minor"/>
    </font>
    <font>
      <u/>
      <sz val="11"/>
      <color theme="10"/>
      <name val="Calibri"/>
      <family val="2"/>
      <scheme val="minor"/>
    </font>
  </fonts>
  <fills count="10">
    <fill>
      <patternFill patternType="none"/>
    </fill>
    <fill>
      <patternFill patternType="gray125"/>
    </fill>
    <fill>
      <patternFill patternType="solid">
        <fgColor rgb="FF4A6A8A"/>
        <bgColor rgb="FF4A6A8A"/>
      </patternFill>
    </fill>
    <fill>
      <patternFill patternType="solid">
        <fgColor rgb="FF708090"/>
        <bgColor rgb="FF708090"/>
      </patternFill>
    </fill>
    <fill>
      <patternFill patternType="solid">
        <fgColor rgb="FFD3D3D3"/>
        <bgColor rgb="FFD3D3D3"/>
      </patternFill>
    </fill>
    <fill>
      <patternFill patternType="solid">
        <fgColor rgb="FFFFFFFF"/>
        <bgColor rgb="FFFFFFFF"/>
      </patternFill>
    </fill>
    <fill>
      <patternFill patternType="solid">
        <fgColor rgb="FFF7F7F7"/>
        <bgColor rgb="FFF7F7F7"/>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right/>
      <top style="thin">
        <color auto="1"/>
      </top>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2">
    <xf numFmtId="0" fontId="0" fillId="0" borderId="0"/>
    <xf numFmtId="0" fontId="18" fillId="0" borderId="0" applyNumberFormat="0" applyFill="0" applyBorder="0" applyAlignment="0" applyProtection="0"/>
  </cellStyleXfs>
  <cellXfs count="77">
    <xf numFmtId="0" fontId="0" fillId="0" borderId="0" xfId="0"/>
    <xf numFmtId="0" fontId="2" fillId="0" borderId="1" xfId="0" applyFont="1" applyBorder="1" applyAlignment="1">
      <alignment vertical="top" wrapText="1" indent="1"/>
    </xf>
    <xf numFmtId="0" fontId="2" fillId="4" borderId="1" xfId="0" applyFont="1" applyFill="1" applyBorder="1" applyAlignment="1">
      <alignment horizontal="center" vertical="center" wrapText="1"/>
    </xf>
    <xf numFmtId="165" fontId="4" fillId="4" borderId="1" xfId="0" applyNumberFormat="1" applyFont="1" applyFill="1" applyBorder="1" applyAlignment="1">
      <alignment vertical="top" wrapText="1" indent="1"/>
    </xf>
    <xf numFmtId="168" fontId="4" fillId="4" borderId="1" xfId="0" applyNumberFormat="1" applyFont="1" applyFill="1" applyBorder="1" applyAlignment="1">
      <alignment vertical="top" wrapText="1" indent="1"/>
    </xf>
    <xf numFmtId="0" fontId="2" fillId="4" borderId="1" xfId="0" applyFont="1" applyFill="1" applyBorder="1" applyAlignment="1">
      <alignment horizontal="center" vertical="top" wrapText="1" indent="1"/>
    </xf>
    <xf numFmtId="0" fontId="0" fillId="5" borderId="1" xfId="0" applyFill="1" applyBorder="1" applyAlignment="1">
      <alignment horizontal="center" vertical="center" wrapText="1"/>
      <extLst>
        <ext xmlns:xfpb="http://schemas.microsoft.com/office/spreadsheetml/2022/featurepropertybag" uri="{C7286773-470A-42A8-94C5-96B5CB345126}">
          <xfpb:xfComplement i="0"/>
        </ext>
      </extLst>
    </xf>
    <xf numFmtId="0" fontId="0" fillId="0" borderId="1" xfId="0" applyBorder="1" applyAlignment="1">
      <alignment horizontal="center" vertical="center" wrapText="1"/>
      <extLst>
        <ext xmlns:xfpb="http://schemas.microsoft.com/office/spreadsheetml/2022/featurepropertybag" uri="{C7286773-470A-42A8-94C5-96B5CB345126}">
          <xfpb:xfComplement i="0"/>
        </ext>
      </extLst>
    </xf>
    <xf numFmtId="0" fontId="2" fillId="0" borderId="1" xfId="0" applyFont="1" applyBorder="1" applyAlignment="1">
      <alignment vertical="center" wrapText="1" indent="1"/>
    </xf>
    <xf numFmtId="0" fontId="2" fillId="0" borderId="14" xfId="0" applyFont="1" applyBorder="1" applyAlignment="1">
      <alignment vertical="center" wrapText="1" indent="1"/>
    </xf>
    <xf numFmtId="0" fontId="8" fillId="0" borderId="0" xfId="0" applyFont="1"/>
    <xf numFmtId="0" fontId="0" fillId="5" borderId="1" xfId="0" applyFill="1" applyBorder="1" applyAlignment="1">
      <alignment horizontal="left" vertical="center" wrapText="1" indent="1"/>
    </xf>
    <xf numFmtId="0" fontId="0" fillId="6" borderId="1" xfId="0" applyFill="1" applyBorder="1" applyAlignment="1">
      <alignment horizontal="left" vertical="center" wrapText="1" indent="1"/>
    </xf>
    <xf numFmtId="164" fontId="4" fillId="5" borderId="1" xfId="0" applyNumberFormat="1" applyFont="1" applyFill="1" applyBorder="1" applyAlignment="1">
      <alignment horizontal="center" vertical="center" wrapText="1" indent="1"/>
    </xf>
    <xf numFmtId="0" fontId="0" fillId="0" borderId="1" xfId="0" applyBorder="1" applyAlignment="1">
      <alignment horizontal="left" vertical="center" wrapText="1" indent="1"/>
    </xf>
    <xf numFmtId="166" fontId="12" fillId="6" borderId="1" xfId="0" applyNumberFormat="1" applyFont="1" applyFill="1" applyBorder="1" applyAlignment="1">
      <alignment horizontal="center" vertical="center" wrapText="1"/>
    </xf>
    <xf numFmtId="166" fontId="12" fillId="5" borderId="1" xfId="0" applyNumberFormat="1" applyFont="1" applyFill="1" applyBorder="1" applyAlignment="1">
      <alignment horizontal="center" vertical="center" wrapText="1"/>
    </xf>
    <xf numFmtId="167" fontId="12" fillId="6" borderId="1" xfId="0" applyNumberFormat="1" applyFont="1" applyFill="1" applyBorder="1" applyAlignment="1">
      <alignment horizontal="center" vertical="center" wrapText="1"/>
    </xf>
    <xf numFmtId="168" fontId="4" fillId="0" borderId="1" xfId="0" applyNumberFormat="1" applyFont="1" applyBorder="1" applyAlignment="1">
      <alignment vertical="top" wrapText="1" indent="1"/>
    </xf>
    <xf numFmtId="165" fontId="4" fillId="0" borderId="1" xfId="0" applyNumberFormat="1" applyFont="1" applyBorder="1" applyAlignment="1">
      <alignment vertical="top" wrapText="1" indent="1"/>
    </xf>
    <xf numFmtId="168" fontId="4" fillId="7" borderId="1" xfId="0" applyNumberFormat="1" applyFont="1" applyFill="1" applyBorder="1" applyAlignment="1">
      <alignment vertical="top" wrapText="1" indent="1"/>
    </xf>
    <xf numFmtId="0" fontId="0" fillId="9" borderId="1" xfId="0" applyFill="1" applyBorder="1" applyAlignment="1">
      <alignment horizontal="left" vertical="center" wrapText="1" indent="1"/>
    </xf>
    <xf numFmtId="0" fontId="9" fillId="9" borderId="1" xfId="0" applyFont="1" applyFill="1" applyBorder="1" applyAlignment="1">
      <alignment vertical="top" wrapText="1" inden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2" fillId="0" borderId="2" xfId="0" applyFont="1" applyBorder="1" applyAlignment="1">
      <alignment vertical="center" wrapText="1" indent="1"/>
    </xf>
    <xf numFmtId="0" fontId="2" fillId="4" borderId="1" xfId="0" applyFont="1" applyFill="1" applyBorder="1" applyAlignment="1">
      <alignment horizontal="right" vertical="top" wrapText="1" indent="1"/>
    </xf>
    <xf numFmtId="0" fontId="0" fillId="0" borderId="1" xfId="0" applyBorder="1" applyAlignment="1">
      <alignment horizontal="right" vertical="top" wrapText="1" indent="1"/>
    </xf>
    <xf numFmtId="0" fontId="0" fillId="0" borderId="1" xfId="0" applyBorder="1" applyAlignment="1">
      <alignment horizontal="right" vertical="center" wrapText="1"/>
    </xf>
    <xf numFmtId="0" fontId="10" fillId="5" borderId="1" xfId="0" applyFont="1" applyFill="1" applyBorder="1" applyAlignment="1">
      <alignment vertical="top" wrapText="1" indent="1"/>
    </xf>
    <xf numFmtId="0" fontId="0" fillId="0" borderId="1" xfId="0" applyBorder="1" applyAlignment="1">
      <alignment vertical="top" wrapText="1" indent="1"/>
    </xf>
    <xf numFmtId="0" fontId="0" fillId="0" borderId="1" xfId="0" applyBorder="1" applyAlignment="1">
      <alignment horizontal="center" vertical="center" wrapText="1"/>
    </xf>
    <xf numFmtId="0" fontId="10" fillId="6" borderId="1" xfId="0" applyFont="1" applyFill="1" applyBorder="1" applyAlignment="1">
      <alignment vertical="top" wrapText="1" indent="1"/>
    </xf>
    <xf numFmtId="0" fontId="2" fillId="4" borderId="2" xfId="0" applyFont="1" applyFill="1" applyBorder="1" applyAlignment="1">
      <alignment horizontal="right" vertical="top" wrapText="1" indent="1"/>
    </xf>
    <xf numFmtId="0" fontId="2" fillId="4" borderId="3" xfId="0" applyFont="1" applyFill="1" applyBorder="1" applyAlignment="1">
      <alignment horizontal="right" vertical="top" wrapText="1" indent="1"/>
    </xf>
    <xf numFmtId="0" fontId="2" fillId="4" borderId="4" xfId="0" applyFont="1" applyFill="1" applyBorder="1" applyAlignment="1">
      <alignment horizontal="right" vertical="top" wrapText="1" indent="1"/>
    </xf>
    <xf numFmtId="0" fontId="0" fillId="0" borderId="2" xfId="0" applyBorder="1" applyAlignment="1">
      <alignment horizontal="center" vertical="top" wrapText="1" indent="1"/>
    </xf>
    <xf numFmtId="0" fontId="0" fillId="0" borderId="3" xfId="0" applyBorder="1" applyAlignment="1">
      <alignment horizontal="center" vertical="top" wrapText="1" indent="1"/>
    </xf>
    <xf numFmtId="0" fontId="0" fillId="0" borderId="4" xfId="0" applyBorder="1" applyAlignment="1">
      <alignment horizontal="center" vertical="top" wrapText="1" indent="1"/>
    </xf>
    <xf numFmtId="0" fontId="3" fillId="3" borderId="1" xfId="0" applyFont="1" applyFill="1" applyBorder="1" applyAlignment="1">
      <alignment horizontal="center" vertical="center" wrapText="1"/>
    </xf>
    <xf numFmtId="0" fontId="15" fillId="8" borderId="1" xfId="0" applyFont="1" applyFill="1" applyBorder="1" applyAlignment="1">
      <alignment vertical="top" wrapText="1" indent="1"/>
    </xf>
    <xf numFmtId="0" fontId="15" fillId="8" borderId="1" xfId="0" applyFont="1" applyFill="1" applyBorder="1" applyAlignment="1">
      <alignment horizontal="center" vertical="center" wrapText="1"/>
    </xf>
    <xf numFmtId="0" fontId="2" fillId="9" borderId="1" xfId="0" applyFont="1" applyFill="1" applyBorder="1" applyAlignment="1">
      <alignment vertical="top" wrapText="1" indent="1"/>
    </xf>
    <xf numFmtId="0" fontId="0" fillId="9" borderId="1" xfId="0" applyFill="1" applyBorder="1" applyAlignment="1">
      <alignment vertical="top" wrapText="1" indent="1"/>
    </xf>
    <xf numFmtId="0" fontId="11" fillId="8" borderId="1" xfId="0" applyFont="1" applyFill="1" applyBorder="1" applyAlignment="1">
      <alignment horizontal="left" vertical="center" wrapText="1" indent="1"/>
    </xf>
    <xf numFmtId="0" fontId="0" fillId="8" borderId="1" xfId="0" applyFill="1" applyBorder="1" applyAlignment="1">
      <alignment horizontal="left" vertical="center" wrapText="1" indent="1"/>
    </xf>
    <xf numFmtId="0" fontId="0" fillId="8" borderId="1" xfId="0" applyFill="1" applyBorder="1" applyAlignment="1">
      <alignment horizontal="left" vertical="center" wrapText="1"/>
    </xf>
    <xf numFmtId="0" fontId="2" fillId="4" borderId="1" xfId="0" applyFont="1" applyFill="1" applyBorder="1" applyAlignment="1">
      <alignment horizontal="center" vertical="top" wrapText="1" indent="1"/>
    </xf>
    <xf numFmtId="0" fontId="0" fillId="0" borderId="1" xfId="0" applyBorder="1" applyAlignment="1">
      <alignment horizontal="center" vertical="top" wrapText="1" indent="1"/>
    </xf>
    <xf numFmtId="0" fontId="13" fillId="8" borderId="1" xfId="0" applyFont="1" applyFill="1" applyBorder="1" applyAlignment="1">
      <alignment vertical="center" wrapText="1" indent="1"/>
    </xf>
    <xf numFmtId="0" fontId="0" fillId="8" borderId="1" xfId="0" applyFill="1" applyBorder="1" applyAlignment="1">
      <alignment vertical="center" wrapText="1" indent="1"/>
    </xf>
    <xf numFmtId="0" fontId="0" fillId="8" borderId="1"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2" fillId="9" borderId="5" xfId="0" applyFont="1" applyFill="1" applyBorder="1" applyAlignment="1">
      <alignment horizontal="left" vertical="top" wrapText="1" indent="1"/>
    </xf>
    <xf numFmtId="0" fontId="2" fillId="9" borderId="6" xfId="0" applyFont="1" applyFill="1" applyBorder="1" applyAlignment="1">
      <alignment horizontal="left" vertical="top" wrapText="1" indent="1"/>
    </xf>
    <xf numFmtId="0" fontId="2" fillId="9" borderId="7" xfId="0" applyFont="1" applyFill="1" applyBorder="1" applyAlignment="1">
      <alignment horizontal="left" vertical="top" wrapText="1" indent="1"/>
    </xf>
    <xf numFmtId="0" fontId="16" fillId="0" borderId="2" xfId="0" applyFont="1" applyBorder="1" applyAlignment="1">
      <alignment horizontal="center" vertical="center" wrapText="1" indent="1"/>
    </xf>
    <xf numFmtId="0" fontId="16" fillId="0" borderId="3" xfId="0" applyFont="1" applyBorder="1" applyAlignment="1">
      <alignment horizontal="center" vertical="center" wrapText="1" indent="1"/>
    </xf>
    <xf numFmtId="0" fontId="16" fillId="0" borderId="4" xfId="0" applyFont="1" applyBorder="1" applyAlignment="1">
      <alignment horizontal="center" vertical="center" wrapText="1" indent="1"/>
    </xf>
    <xf numFmtId="0" fontId="11" fillId="8" borderId="1" xfId="0" applyFont="1" applyFill="1" applyBorder="1" applyAlignment="1">
      <alignment vertical="center" wrapText="1" indent="1"/>
    </xf>
    <xf numFmtId="0" fontId="18" fillId="0" borderId="3" xfId="1" applyBorder="1" applyAlignment="1" applyProtection="1">
      <alignment horizontal="center" vertical="top" wrapText="1" indent="1"/>
      <protection locked="0"/>
    </xf>
    <xf numFmtId="0" fontId="5" fillId="0" borderId="3" xfId="0" applyFont="1" applyBorder="1" applyAlignment="1" applyProtection="1">
      <alignment horizontal="center" vertical="top" wrapText="1" indent="1"/>
      <protection locked="0"/>
    </xf>
    <xf numFmtId="0" fontId="1" fillId="2" borderId="1" xfId="0" applyFont="1" applyFill="1" applyBorder="1" applyAlignment="1">
      <alignment horizontal="center" vertical="center" wrapText="1"/>
    </xf>
    <xf numFmtId="0" fontId="6" fillId="7" borderId="1" xfId="0" applyFont="1" applyFill="1" applyBorder="1" applyAlignment="1">
      <alignment horizontal="center" vertical="center" wrapText="1" indent="1"/>
    </xf>
    <xf numFmtId="0" fontId="7" fillId="7" borderId="1" xfId="0" applyFont="1" applyFill="1" applyBorder="1" applyAlignment="1">
      <alignment horizontal="center" vertical="center" wrapText="1" indent="1"/>
    </xf>
    <xf numFmtId="0" fontId="7" fillId="7" borderId="1"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5" fillId="0" borderId="2" xfId="0" applyFont="1" applyBorder="1" applyAlignment="1" applyProtection="1">
      <alignment horizontal="center" vertical="top" wrapText="1" indent="1"/>
      <protection locked="0"/>
    </xf>
    <xf numFmtId="0" fontId="0" fillId="0" borderId="4" xfId="0" applyBorder="1" applyAlignment="1" applyProtection="1">
      <alignment horizontal="center" vertical="top" wrapText="1" indent="1"/>
      <protection locked="0"/>
    </xf>
    <xf numFmtId="0" fontId="5" fillId="0" borderId="13" xfId="0" applyFont="1" applyBorder="1" applyAlignment="1" applyProtection="1">
      <alignment horizontal="center" vertical="top" wrapText="1" indent="1"/>
      <protection locked="0"/>
    </xf>
  </cellXfs>
  <cellStyles count="2">
    <cellStyle name="Lien hypertexte" xfId="1" builtinId="8"/>
    <cellStyle name="Normal" xfId="0" builtinId="0"/>
  </cellStyles>
  <dxfs count="1">
    <dxf>
      <font>
        <b/>
        <i val="0"/>
        <color rgb="FFFF0000"/>
      </font>
      <fill>
        <patternFill patternType="solid">
          <bgColor rgb="FFFFFF00"/>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494A-C5A4-4162-8E25-E1024A1B842A}">
  <dimension ref="A1:M91"/>
  <sheetViews>
    <sheetView tabSelected="1" topLeftCell="A74" zoomScale="125" zoomScaleNormal="85" workbookViewId="0">
      <selection activeCell="B82" sqref="B82:D82"/>
    </sheetView>
  </sheetViews>
  <sheetFormatPr baseColWidth="10" defaultColWidth="8.83203125" defaultRowHeight="15" x14ac:dyDescent="0.2"/>
  <cols>
    <col min="1" max="1" width="50.1640625" customWidth="1"/>
    <col min="2" max="2" width="68.5" customWidth="1"/>
    <col min="3" max="3" width="52.1640625" customWidth="1"/>
    <col min="4" max="5" width="10" customWidth="1"/>
  </cols>
  <sheetData>
    <row r="1" spans="1:13" ht="30" customHeight="1" x14ac:dyDescent="0.2">
      <c r="A1" s="64" t="s">
        <v>0</v>
      </c>
      <c r="B1" s="30"/>
      <c r="C1" s="30"/>
      <c r="D1" s="31"/>
      <c r="E1" s="31"/>
    </row>
    <row r="2" spans="1:13" ht="22.5" customHeight="1" x14ac:dyDescent="0.2">
      <c r="A2" s="65" t="s">
        <v>1</v>
      </c>
      <c r="B2" s="66"/>
      <c r="C2" s="66"/>
      <c r="D2" s="67"/>
      <c r="E2" s="67"/>
    </row>
    <row r="3" spans="1:13" x14ac:dyDescent="0.2">
      <c r="A3" s="36"/>
      <c r="B3" s="37"/>
      <c r="C3" s="37"/>
      <c r="D3" s="37"/>
      <c r="E3" s="38"/>
    </row>
    <row r="4" spans="1:13" ht="16" x14ac:dyDescent="0.2">
      <c r="A4" s="1" t="s">
        <v>2</v>
      </c>
      <c r="B4" s="36" t="s">
        <v>3</v>
      </c>
      <c r="C4" s="38"/>
      <c r="D4" s="68"/>
      <c r="E4" s="69"/>
    </row>
    <row r="5" spans="1:13" ht="16" x14ac:dyDescent="0.2">
      <c r="A5" s="1" t="s">
        <v>4</v>
      </c>
      <c r="B5" s="36" t="s">
        <v>5</v>
      </c>
      <c r="C5" s="38"/>
      <c r="D5" s="70"/>
      <c r="E5" s="71"/>
    </row>
    <row r="6" spans="1:13" ht="16" x14ac:dyDescent="0.2">
      <c r="A6" s="1" t="s">
        <v>6</v>
      </c>
      <c r="B6" s="36" t="s">
        <v>7</v>
      </c>
      <c r="C6" s="38"/>
      <c r="D6" s="70"/>
      <c r="E6" s="71"/>
    </row>
    <row r="7" spans="1:13" ht="22.5" customHeight="1" x14ac:dyDescent="0.2">
      <c r="A7" s="8" t="s">
        <v>8</v>
      </c>
      <c r="B7" s="74" t="s">
        <v>101</v>
      </c>
      <c r="C7" s="75"/>
      <c r="D7" s="70"/>
      <c r="E7" s="71"/>
    </row>
    <row r="8" spans="1:13" ht="22.5" customHeight="1" x14ac:dyDescent="0.2">
      <c r="A8" s="9" t="s">
        <v>9</v>
      </c>
      <c r="B8" s="63" t="s">
        <v>102</v>
      </c>
      <c r="C8" s="76"/>
      <c r="D8" s="72"/>
      <c r="E8" s="73"/>
      <c r="M8" s="10"/>
    </row>
    <row r="9" spans="1:13" ht="22.5" customHeight="1" x14ac:dyDescent="0.2">
      <c r="A9" s="25" t="s">
        <v>91</v>
      </c>
      <c r="B9" s="62" t="str">
        <f>IF(B8&lt;&gt;"",HYPERLINK("https://panoramix.cg.helmo.be/~"&amp;TRIM(B8)&amp;"/EVAL_V1/"),"")</f>
        <v>https://panoramix.cg.helmo.be/~q250067/EVAL_V1/</v>
      </c>
      <c r="C9" s="63"/>
      <c r="D9" s="23"/>
      <c r="E9" s="24"/>
      <c r="M9" s="10"/>
    </row>
    <row r="10" spans="1:13" x14ac:dyDescent="0.2">
      <c r="A10" s="36"/>
      <c r="B10" s="37"/>
      <c r="C10" s="37"/>
      <c r="D10" s="37"/>
      <c r="E10" s="38"/>
    </row>
    <row r="11" spans="1:13" ht="25" customHeight="1" x14ac:dyDescent="0.2">
      <c r="A11" s="39" t="s">
        <v>10</v>
      </c>
      <c r="B11" s="30"/>
      <c r="C11" s="30"/>
      <c r="D11" s="31"/>
      <c r="E11" s="31"/>
    </row>
    <row r="12" spans="1:13" ht="30" customHeight="1" x14ac:dyDescent="0.2">
      <c r="A12" s="49" t="s">
        <v>11</v>
      </c>
      <c r="B12" s="50"/>
      <c r="C12" s="50"/>
      <c r="D12" s="51"/>
      <c r="E12" s="51"/>
    </row>
    <row r="13" spans="1:13" ht="16" x14ac:dyDescent="0.2">
      <c r="A13" s="5" t="s">
        <v>12</v>
      </c>
      <c r="B13" s="47" t="s">
        <v>13</v>
      </c>
      <c r="C13" s="48"/>
      <c r="D13" s="2" t="s">
        <v>14</v>
      </c>
      <c r="E13" s="52"/>
    </row>
    <row r="14" spans="1:13" ht="60" customHeight="1" x14ac:dyDescent="0.2">
      <c r="A14" s="14" t="s">
        <v>15</v>
      </c>
      <c r="B14" s="30"/>
      <c r="C14" s="30"/>
      <c r="D14" s="7" t="b">
        <v>1</v>
      </c>
      <c r="E14" s="53"/>
    </row>
    <row r="15" spans="1:13" ht="60" customHeight="1" x14ac:dyDescent="0.2">
      <c r="A15" s="14" t="s">
        <v>16</v>
      </c>
      <c r="B15" s="30"/>
      <c r="C15" s="30"/>
      <c r="D15" s="7" t="b">
        <v>1</v>
      </c>
      <c r="E15" s="53"/>
    </row>
    <row r="16" spans="1:13" ht="60" customHeight="1" x14ac:dyDescent="0.2">
      <c r="A16" s="14" t="s">
        <v>17</v>
      </c>
      <c r="B16" s="30"/>
      <c r="C16" s="30"/>
      <c r="D16" s="7" t="b">
        <v>1</v>
      </c>
      <c r="E16" s="53"/>
    </row>
    <row r="17" spans="1:5" ht="60" customHeight="1" x14ac:dyDescent="0.2">
      <c r="A17" s="14" t="s">
        <v>18</v>
      </c>
      <c r="B17" s="30"/>
      <c r="C17" s="30"/>
      <c r="D17" s="7" t="b">
        <v>1</v>
      </c>
      <c r="E17" s="53"/>
    </row>
    <row r="18" spans="1:5" ht="60" customHeight="1" x14ac:dyDescent="0.2">
      <c r="A18" s="14" t="s">
        <v>19</v>
      </c>
      <c r="B18" s="30"/>
      <c r="C18" s="30"/>
      <c r="D18" s="7" t="b">
        <v>1</v>
      </c>
      <c r="E18" s="54"/>
    </row>
    <row r="19" spans="1:5" ht="30" customHeight="1" x14ac:dyDescent="0.2">
      <c r="A19" s="58" t="str">
        <f>IF(NOT(COUNTIF(D14:D18, TRUE)=ROWS(D14:D18)), "NON RECEVABLE", "")</f>
        <v/>
      </c>
      <c r="B19" s="59"/>
      <c r="C19" s="59"/>
      <c r="D19" s="59"/>
      <c r="E19" s="60"/>
    </row>
    <row r="20" spans="1:5" ht="25" customHeight="1" x14ac:dyDescent="0.2">
      <c r="A20" s="39" t="s">
        <v>20</v>
      </c>
      <c r="B20" s="30"/>
      <c r="C20" s="30"/>
      <c r="D20" s="31"/>
      <c r="E20" s="31"/>
    </row>
    <row r="21" spans="1:5" ht="48" customHeight="1" x14ac:dyDescent="0.2">
      <c r="A21" s="61" t="s">
        <v>100</v>
      </c>
      <c r="B21" s="50"/>
      <c r="C21" s="50"/>
      <c r="D21" s="51"/>
      <c r="E21" s="51"/>
    </row>
    <row r="22" spans="1:5" ht="16" x14ac:dyDescent="0.2">
      <c r="A22" s="5" t="s">
        <v>21</v>
      </c>
      <c r="B22" s="5" t="s">
        <v>22</v>
      </c>
      <c r="C22" s="5" t="s">
        <v>23</v>
      </c>
      <c r="D22" s="2" t="s">
        <v>14</v>
      </c>
      <c r="E22" s="2" t="s">
        <v>24</v>
      </c>
    </row>
    <row r="23" spans="1:5" ht="45" customHeight="1" x14ac:dyDescent="0.2">
      <c r="A23" s="55" t="s">
        <v>25</v>
      </c>
      <c r="B23" s="21" t="s">
        <v>26</v>
      </c>
      <c r="C23" s="22"/>
      <c r="D23" s="6" t="b">
        <v>1</v>
      </c>
      <c r="E23" s="13">
        <f>IF(D23=TRUE, 1, 0)</f>
        <v>1</v>
      </c>
    </row>
    <row r="24" spans="1:5" ht="45" customHeight="1" x14ac:dyDescent="0.2">
      <c r="A24" s="56"/>
      <c r="B24" s="21" t="s">
        <v>27</v>
      </c>
      <c r="C24" s="22"/>
      <c r="D24" s="6" t="b">
        <v>1</v>
      </c>
      <c r="E24" s="13">
        <f>IF(D24=TRUE, 1, 0)</f>
        <v>1</v>
      </c>
    </row>
    <row r="25" spans="1:5" ht="45" customHeight="1" x14ac:dyDescent="0.2">
      <c r="A25" s="56"/>
      <c r="B25" s="21" t="s">
        <v>28</v>
      </c>
      <c r="C25" s="22"/>
      <c r="D25" s="6" t="b">
        <v>1</v>
      </c>
      <c r="E25" s="13">
        <f t="shared" ref="E25:E62" si="0">IF(D25=TRUE, 1, 0)</f>
        <v>1</v>
      </c>
    </row>
    <row r="26" spans="1:5" ht="45" customHeight="1" x14ac:dyDescent="0.2">
      <c r="A26" s="56"/>
      <c r="B26" s="21" t="s">
        <v>92</v>
      </c>
      <c r="C26" s="22"/>
      <c r="D26" s="6" t="b">
        <v>1</v>
      </c>
      <c r="E26" s="13">
        <f t="shared" si="0"/>
        <v>1</v>
      </c>
    </row>
    <row r="27" spans="1:5" ht="45" customHeight="1" x14ac:dyDescent="0.2">
      <c r="A27" s="57"/>
      <c r="B27" s="21" t="s">
        <v>93</v>
      </c>
      <c r="C27" s="22"/>
      <c r="D27" s="6" t="b">
        <v>1</v>
      </c>
      <c r="E27" s="13">
        <f t="shared" si="0"/>
        <v>1</v>
      </c>
    </row>
    <row r="28" spans="1:5" ht="45" customHeight="1" x14ac:dyDescent="0.2">
      <c r="A28" s="42" t="s">
        <v>29</v>
      </c>
      <c r="B28" s="21" t="s">
        <v>26</v>
      </c>
      <c r="C28" s="22"/>
      <c r="D28" s="6" t="b">
        <v>1</v>
      </c>
      <c r="E28" s="13">
        <f t="shared" si="0"/>
        <v>1</v>
      </c>
    </row>
    <row r="29" spans="1:5" ht="45" customHeight="1" x14ac:dyDescent="0.2">
      <c r="A29" s="43"/>
      <c r="B29" s="21" t="s">
        <v>30</v>
      </c>
      <c r="C29" s="22"/>
      <c r="D29" s="6" t="b">
        <v>1</v>
      </c>
      <c r="E29" s="13">
        <f t="shared" si="0"/>
        <v>1</v>
      </c>
    </row>
    <row r="30" spans="1:5" ht="45" customHeight="1" x14ac:dyDescent="0.2">
      <c r="A30" s="43"/>
      <c r="B30" s="21" t="s">
        <v>31</v>
      </c>
      <c r="C30" s="21"/>
      <c r="D30" s="6" t="b">
        <v>1</v>
      </c>
      <c r="E30" s="13">
        <f t="shared" si="0"/>
        <v>1</v>
      </c>
    </row>
    <row r="31" spans="1:5" ht="45" customHeight="1" x14ac:dyDescent="0.2">
      <c r="A31" s="42" t="s">
        <v>32</v>
      </c>
      <c r="B31" s="21" t="s">
        <v>33</v>
      </c>
      <c r="C31" s="22"/>
      <c r="D31" s="6" t="b">
        <v>1</v>
      </c>
      <c r="E31" s="13">
        <f t="shared" si="0"/>
        <v>1</v>
      </c>
    </row>
    <row r="32" spans="1:5" ht="45" customHeight="1" x14ac:dyDescent="0.2">
      <c r="A32" s="43"/>
      <c r="B32" s="21" t="s">
        <v>34</v>
      </c>
      <c r="C32" s="22"/>
      <c r="D32" s="6" t="b">
        <v>1</v>
      </c>
      <c r="E32" s="13">
        <f t="shared" si="0"/>
        <v>1</v>
      </c>
    </row>
    <row r="33" spans="1:5" ht="45" customHeight="1" x14ac:dyDescent="0.2">
      <c r="A33" s="43"/>
      <c r="B33" s="21" t="s">
        <v>35</v>
      </c>
      <c r="C33" s="22"/>
      <c r="D33" s="6" t="b">
        <v>1</v>
      </c>
      <c r="E33" s="13">
        <f t="shared" si="0"/>
        <v>1</v>
      </c>
    </row>
    <row r="34" spans="1:5" ht="45" customHeight="1" x14ac:dyDescent="0.2">
      <c r="A34" s="43"/>
      <c r="B34" s="21" t="s">
        <v>36</v>
      </c>
      <c r="C34" s="21"/>
      <c r="D34" s="6" t="b">
        <v>1</v>
      </c>
      <c r="E34" s="13">
        <f t="shared" si="0"/>
        <v>1</v>
      </c>
    </row>
    <row r="35" spans="1:5" ht="45" customHeight="1" x14ac:dyDescent="0.2">
      <c r="A35" s="43"/>
      <c r="B35" s="21" t="s">
        <v>37</v>
      </c>
      <c r="C35" s="21"/>
      <c r="D35" s="6" t="b">
        <v>1</v>
      </c>
      <c r="E35" s="13">
        <f t="shared" si="0"/>
        <v>1</v>
      </c>
    </row>
    <row r="36" spans="1:5" ht="45" customHeight="1" x14ac:dyDescent="0.2">
      <c r="A36" s="43"/>
      <c r="B36" s="21" t="s">
        <v>38</v>
      </c>
      <c r="C36" s="22"/>
      <c r="D36" s="6" t="b">
        <v>1</v>
      </c>
      <c r="E36" s="13">
        <f t="shared" si="0"/>
        <v>1</v>
      </c>
    </row>
    <row r="37" spans="1:5" ht="45" customHeight="1" x14ac:dyDescent="0.2">
      <c r="A37" s="43"/>
      <c r="B37" s="21" t="s">
        <v>39</v>
      </c>
      <c r="C37" s="22"/>
      <c r="D37" s="6" t="b">
        <v>1</v>
      </c>
      <c r="E37" s="13">
        <f t="shared" si="0"/>
        <v>1</v>
      </c>
    </row>
    <row r="38" spans="1:5" ht="45" customHeight="1" x14ac:dyDescent="0.2">
      <c r="A38" s="43"/>
      <c r="B38" s="21" t="s">
        <v>99</v>
      </c>
      <c r="C38" s="22"/>
      <c r="D38" s="6" t="b">
        <v>1</v>
      </c>
      <c r="E38" s="13">
        <f t="shared" si="0"/>
        <v>1</v>
      </c>
    </row>
    <row r="39" spans="1:5" ht="45" customHeight="1" x14ac:dyDescent="0.2">
      <c r="A39" s="42" t="s">
        <v>40</v>
      </c>
      <c r="B39" s="21" t="s">
        <v>41</v>
      </c>
      <c r="C39" s="22"/>
      <c r="D39" s="6" t="b">
        <v>1</v>
      </c>
      <c r="E39" s="13">
        <f t="shared" si="0"/>
        <v>1</v>
      </c>
    </row>
    <row r="40" spans="1:5" ht="45" customHeight="1" x14ac:dyDescent="0.2">
      <c r="A40" s="43"/>
      <c r="B40" s="21" t="s">
        <v>94</v>
      </c>
      <c r="C40" s="21"/>
      <c r="D40" s="6" t="b">
        <v>1</v>
      </c>
      <c r="E40" s="13">
        <f t="shared" si="0"/>
        <v>1</v>
      </c>
    </row>
    <row r="41" spans="1:5" ht="81.75" customHeight="1" x14ac:dyDescent="0.2">
      <c r="A41" s="43"/>
      <c r="B41" s="21" t="s">
        <v>42</v>
      </c>
      <c r="C41" s="21"/>
      <c r="D41" s="6" t="b">
        <v>1</v>
      </c>
      <c r="E41" s="13">
        <f t="shared" si="0"/>
        <v>1</v>
      </c>
    </row>
    <row r="42" spans="1:5" ht="45" customHeight="1" x14ac:dyDescent="0.2">
      <c r="A42" s="43"/>
      <c r="B42" s="21" t="s">
        <v>43</v>
      </c>
      <c r="C42" s="22" t="s">
        <v>104</v>
      </c>
      <c r="D42" s="6" t="b">
        <v>0</v>
      </c>
      <c r="E42" s="13">
        <f t="shared" si="0"/>
        <v>0</v>
      </c>
    </row>
    <row r="43" spans="1:5" ht="45" customHeight="1" x14ac:dyDescent="0.2">
      <c r="A43" s="43"/>
      <c r="B43" s="21" t="s">
        <v>44</v>
      </c>
      <c r="C43" s="22"/>
      <c r="D43" s="6" t="b">
        <v>1</v>
      </c>
      <c r="E43" s="13">
        <f t="shared" si="0"/>
        <v>1</v>
      </c>
    </row>
    <row r="44" spans="1:5" ht="66.75" customHeight="1" x14ac:dyDescent="0.2">
      <c r="A44" s="43"/>
      <c r="B44" s="21" t="s">
        <v>45</v>
      </c>
      <c r="C44" s="22" t="s">
        <v>104</v>
      </c>
      <c r="D44" s="6" t="b">
        <v>0</v>
      </c>
      <c r="E44" s="13">
        <f t="shared" si="0"/>
        <v>0</v>
      </c>
    </row>
    <row r="45" spans="1:5" ht="45" customHeight="1" x14ac:dyDescent="0.2">
      <c r="A45" s="43"/>
      <c r="B45" s="21" t="s">
        <v>46</v>
      </c>
      <c r="C45" s="21" t="s">
        <v>104</v>
      </c>
      <c r="D45" s="6" t="b">
        <v>0</v>
      </c>
      <c r="E45" s="13">
        <f t="shared" si="0"/>
        <v>0</v>
      </c>
    </row>
    <row r="46" spans="1:5" ht="45" customHeight="1" x14ac:dyDescent="0.2">
      <c r="A46" s="42" t="s">
        <v>47</v>
      </c>
      <c r="B46" s="21" t="s">
        <v>48</v>
      </c>
      <c r="C46" s="22"/>
      <c r="D46" s="6" t="b">
        <v>1</v>
      </c>
      <c r="E46" s="13">
        <f t="shared" si="0"/>
        <v>1</v>
      </c>
    </row>
    <row r="47" spans="1:5" ht="45" customHeight="1" x14ac:dyDescent="0.2">
      <c r="A47" s="43"/>
      <c r="B47" s="21" t="s">
        <v>49</v>
      </c>
      <c r="C47" s="22"/>
      <c r="D47" s="6" t="b">
        <v>1</v>
      </c>
      <c r="E47" s="13">
        <f t="shared" si="0"/>
        <v>1</v>
      </c>
    </row>
    <row r="48" spans="1:5" ht="45" customHeight="1" x14ac:dyDescent="0.2">
      <c r="A48" s="43"/>
      <c r="B48" s="21" t="s">
        <v>50</v>
      </c>
      <c r="C48" s="21"/>
      <c r="D48" s="6" t="b">
        <v>1</v>
      </c>
      <c r="E48" s="13">
        <f t="shared" si="0"/>
        <v>1</v>
      </c>
    </row>
    <row r="49" spans="1:5" ht="45" customHeight="1" x14ac:dyDescent="0.2">
      <c r="A49" s="43"/>
      <c r="B49" s="21" t="s">
        <v>51</v>
      </c>
      <c r="C49" s="22"/>
      <c r="D49" s="6" t="b">
        <v>1</v>
      </c>
      <c r="E49" s="13">
        <f t="shared" si="0"/>
        <v>1</v>
      </c>
    </row>
    <row r="50" spans="1:5" ht="63.75" customHeight="1" x14ac:dyDescent="0.2">
      <c r="A50" s="43"/>
      <c r="B50" s="21" t="s">
        <v>52</v>
      </c>
      <c r="C50" s="21" t="s">
        <v>105</v>
      </c>
      <c r="D50" s="6" t="b">
        <v>0</v>
      </c>
      <c r="E50" s="13">
        <f t="shared" si="0"/>
        <v>0</v>
      </c>
    </row>
    <row r="51" spans="1:5" ht="45" customHeight="1" x14ac:dyDescent="0.2">
      <c r="A51" s="43"/>
      <c r="B51" s="21" t="s">
        <v>53</v>
      </c>
      <c r="C51" s="22" t="s">
        <v>104</v>
      </c>
      <c r="D51" s="6" t="b">
        <v>0</v>
      </c>
      <c r="E51" s="13">
        <f t="shared" si="0"/>
        <v>0</v>
      </c>
    </row>
    <row r="52" spans="1:5" ht="45" customHeight="1" x14ac:dyDescent="0.2">
      <c r="A52" s="43"/>
      <c r="B52" s="21" t="s">
        <v>54</v>
      </c>
      <c r="C52" s="22"/>
      <c r="D52" s="6" t="b">
        <v>1</v>
      </c>
      <c r="E52" s="13">
        <f t="shared" si="0"/>
        <v>1</v>
      </c>
    </row>
    <row r="53" spans="1:5" ht="45" customHeight="1" x14ac:dyDescent="0.2">
      <c r="A53" s="43"/>
      <c r="B53" s="21" t="s">
        <v>55</v>
      </c>
      <c r="C53" s="22"/>
      <c r="D53" s="6" t="b">
        <v>1</v>
      </c>
      <c r="E53" s="13">
        <f t="shared" si="0"/>
        <v>1</v>
      </c>
    </row>
    <row r="54" spans="1:5" ht="45" customHeight="1" x14ac:dyDescent="0.2">
      <c r="A54" s="42" t="s">
        <v>56</v>
      </c>
      <c r="B54" s="21" t="s">
        <v>57</v>
      </c>
      <c r="C54" s="22"/>
      <c r="D54" s="6" t="b">
        <v>1</v>
      </c>
      <c r="E54" s="13">
        <f t="shared" si="0"/>
        <v>1</v>
      </c>
    </row>
    <row r="55" spans="1:5" ht="45" customHeight="1" x14ac:dyDescent="0.2">
      <c r="A55" s="43"/>
      <c r="B55" s="21" t="s">
        <v>58</v>
      </c>
      <c r="C55" s="22"/>
      <c r="D55" s="6" t="b">
        <v>1</v>
      </c>
      <c r="E55" s="13">
        <f t="shared" si="0"/>
        <v>1</v>
      </c>
    </row>
    <row r="56" spans="1:5" ht="45" customHeight="1" x14ac:dyDescent="0.2">
      <c r="A56" s="43"/>
      <c r="B56" s="21" t="s">
        <v>59</v>
      </c>
      <c r="C56" s="22" t="s">
        <v>104</v>
      </c>
      <c r="D56" s="6" t="b">
        <v>0</v>
      </c>
      <c r="E56" s="13">
        <f t="shared" si="0"/>
        <v>0</v>
      </c>
    </row>
    <row r="57" spans="1:5" ht="45" customHeight="1" x14ac:dyDescent="0.2">
      <c r="A57" s="43"/>
      <c r="B57" s="21" t="s">
        <v>60</v>
      </c>
      <c r="C57" s="22" t="s">
        <v>104</v>
      </c>
      <c r="D57" s="6" t="b">
        <v>0</v>
      </c>
      <c r="E57" s="13">
        <f t="shared" si="0"/>
        <v>0</v>
      </c>
    </row>
    <row r="58" spans="1:5" ht="45" customHeight="1" x14ac:dyDescent="0.2">
      <c r="A58" s="43"/>
      <c r="B58" s="21" t="s">
        <v>98</v>
      </c>
      <c r="C58" s="22"/>
      <c r="D58" s="6" t="b">
        <v>1</v>
      </c>
      <c r="E58" s="13">
        <f t="shared" si="0"/>
        <v>1</v>
      </c>
    </row>
    <row r="59" spans="1:5" ht="45" customHeight="1" x14ac:dyDescent="0.2">
      <c r="A59" s="43"/>
      <c r="B59" s="21" t="s">
        <v>95</v>
      </c>
      <c r="C59" s="21"/>
      <c r="D59" s="6" t="b">
        <v>1</v>
      </c>
      <c r="E59" s="13">
        <f t="shared" si="0"/>
        <v>1</v>
      </c>
    </row>
    <row r="60" spans="1:5" ht="45" customHeight="1" x14ac:dyDescent="0.2">
      <c r="A60" s="43"/>
      <c r="B60" s="21" t="s">
        <v>61</v>
      </c>
      <c r="C60" s="22"/>
      <c r="D60" s="6" t="b">
        <v>1</v>
      </c>
      <c r="E60" s="13">
        <f t="shared" si="0"/>
        <v>1</v>
      </c>
    </row>
    <row r="61" spans="1:5" ht="45" customHeight="1" x14ac:dyDescent="0.2">
      <c r="A61" s="43"/>
      <c r="B61" s="21" t="s">
        <v>55</v>
      </c>
      <c r="C61" s="22"/>
      <c r="D61" s="6" t="b">
        <v>1</v>
      </c>
      <c r="E61" s="13">
        <f t="shared" si="0"/>
        <v>1</v>
      </c>
    </row>
    <row r="62" spans="1:5" ht="45" customHeight="1" x14ac:dyDescent="0.2">
      <c r="A62" s="42" t="s">
        <v>62</v>
      </c>
      <c r="B62" s="21" t="s">
        <v>63</v>
      </c>
      <c r="C62" s="22"/>
      <c r="D62" s="6" t="b">
        <v>1</v>
      </c>
      <c r="E62" s="13">
        <f t="shared" si="0"/>
        <v>1</v>
      </c>
    </row>
    <row r="63" spans="1:5" ht="45" customHeight="1" x14ac:dyDescent="0.2">
      <c r="A63" s="43"/>
      <c r="B63" s="21" t="s">
        <v>64</v>
      </c>
      <c r="C63" s="21"/>
      <c r="D63" s="6" t="b">
        <v>1</v>
      </c>
      <c r="E63" s="13">
        <f t="shared" ref="E63:E75" si="1">IF(D63=TRUE, 1, 0)</f>
        <v>1</v>
      </c>
    </row>
    <row r="64" spans="1:5" ht="45" customHeight="1" x14ac:dyDescent="0.2">
      <c r="A64" s="43"/>
      <c r="B64" s="21" t="s">
        <v>65</v>
      </c>
      <c r="C64" s="22" t="s">
        <v>105</v>
      </c>
      <c r="D64" s="6" t="b">
        <v>0</v>
      </c>
      <c r="E64" s="13">
        <f t="shared" si="1"/>
        <v>0</v>
      </c>
    </row>
    <row r="65" spans="1:5" ht="45" customHeight="1" x14ac:dyDescent="0.2">
      <c r="A65" s="43"/>
      <c r="B65" s="21" t="s">
        <v>96</v>
      </c>
      <c r="C65" s="22"/>
      <c r="D65" s="6" t="b">
        <v>1</v>
      </c>
      <c r="E65" s="13">
        <f t="shared" si="1"/>
        <v>1</v>
      </c>
    </row>
    <row r="66" spans="1:5" ht="45" customHeight="1" x14ac:dyDescent="0.2">
      <c r="A66" s="43"/>
      <c r="B66" s="21" t="s">
        <v>97</v>
      </c>
      <c r="C66" s="22"/>
      <c r="D66" s="6" t="b">
        <v>1</v>
      </c>
      <c r="E66" s="13">
        <f t="shared" si="1"/>
        <v>1</v>
      </c>
    </row>
    <row r="67" spans="1:5" ht="45" customHeight="1" x14ac:dyDescent="0.2">
      <c r="A67" s="42" t="s">
        <v>66</v>
      </c>
      <c r="B67" s="21" t="s">
        <v>67</v>
      </c>
      <c r="C67" s="22"/>
      <c r="D67" s="6" t="b">
        <v>1</v>
      </c>
      <c r="E67" s="13">
        <f t="shared" si="1"/>
        <v>1</v>
      </c>
    </row>
    <row r="68" spans="1:5" ht="45" customHeight="1" x14ac:dyDescent="0.2">
      <c r="A68" s="43"/>
      <c r="B68" s="21" t="s">
        <v>68</v>
      </c>
      <c r="C68" s="22"/>
      <c r="D68" s="6" t="b">
        <v>1</v>
      </c>
      <c r="E68" s="13">
        <f t="shared" si="1"/>
        <v>1</v>
      </c>
    </row>
    <row r="69" spans="1:5" ht="45" customHeight="1" x14ac:dyDescent="0.2">
      <c r="A69" s="43"/>
      <c r="B69" s="21" t="s">
        <v>69</v>
      </c>
      <c r="C69" s="22"/>
      <c r="D69" s="6" t="b">
        <v>1</v>
      </c>
      <c r="E69" s="13">
        <f t="shared" si="1"/>
        <v>1</v>
      </c>
    </row>
    <row r="70" spans="1:5" ht="45" customHeight="1" x14ac:dyDescent="0.2">
      <c r="A70" s="43"/>
      <c r="B70" s="21" t="s">
        <v>70</v>
      </c>
      <c r="C70" s="22"/>
      <c r="D70" s="6" t="b">
        <v>1</v>
      </c>
      <c r="E70" s="13">
        <f t="shared" si="1"/>
        <v>1</v>
      </c>
    </row>
    <row r="71" spans="1:5" ht="45" customHeight="1" x14ac:dyDescent="0.2">
      <c r="A71" s="43"/>
      <c r="B71" s="21" t="s">
        <v>71</v>
      </c>
      <c r="C71" s="22"/>
      <c r="D71" s="6" t="b">
        <v>1</v>
      </c>
      <c r="E71" s="13">
        <f t="shared" si="1"/>
        <v>1</v>
      </c>
    </row>
    <row r="72" spans="1:5" ht="45" customHeight="1" x14ac:dyDescent="0.2">
      <c r="A72" s="42" t="s">
        <v>72</v>
      </c>
      <c r="B72" s="21" t="s">
        <v>73</v>
      </c>
      <c r="C72" s="22"/>
      <c r="D72" s="6" t="b">
        <v>1</v>
      </c>
      <c r="E72" s="13">
        <f t="shared" si="1"/>
        <v>1</v>
      </c>
    </row>
    <row r="73" spans="1:5" ht="45" customHeight="1" x14ac:dyDescent="0.2">
      <c r="A73" s="43"/>
      <c r="B73" s="21" t="s">
        <v>74</v>
      </c>
      <c r="C73" s="22"/>
      <c r="D73" s="6" t="b">
        <v>1</v>
      </c>
      <c r="E73" s="13">
        <f t="shared" si="1"/>
        <v>1</v>
      </c>
    </row>
    <row r="74" spans="1:5" ht="45" customHeight="1" x14ac:dyDescent="0.2">
      <c r="A74" s="43"/>
      <c r="B74" s="21" t="s">
        <v>75</v>
      </c>
      <c r="C74" s="22"/>
      <c r="D74" s="6" t="b">
        <v>1</v>
      </c>
      <c r="E74" s="13">
        <f t="shared" si="1"/>
        <v>1</v>
      </c>
    </row>
    <row r="75" spans="1:5" ht="45" customHeight="1" x14ac:dyDescent="0.2">
      <c r="A75" s="43"/>
      <c r="B75" s="21" t="s">
        <v>76</v>
      </c>
      <c r="C75" s="22"/>
      <c r="D75" s="6" t="b">
        <v>1</v>
      </c>
      <c r="E75" s="13">
        <f t="shared" si="1"/>
        <v>1</v>
      </c>
    </row>
    <row r="76" spans="1:5" x14ac:dyDescent="0.2">
      <c r="A76" s="33" t="s">
        <v>77</v>
      </c>
      <c r="B76" s="34"/>
      <c r="C76" s="34"/>
      <c r="D76" s="35"/>
      <c r="E76" s="3">
        <f>IF(SUM(E23:E75)&lt;((ROWS(E23:E75)/4)*3), 0, 10 + (SUM(E23:E75)-((ROWS(E23:E75)/4)*3)) * (10/(ROWS(E23:E75)-((ROWS(E23:E75)/4)*3))))</f>
        <v>13.962264150943398</v>
      </c>
    </row>
    <row r="77" spans="1:5" ht="30" customHeight="1" x14ac:dyDescent="0.2">
      <c r="A77" s="36"/>
      <c r="B77" s="37"/>
      <c r="C77" s="37"/>
      <c r="D77" s="37"/>
      <c r="E77" s="38"/>
    </row>
    <row r="78" spans="1:5" ht="25" customHeight="1" x14ac:dyDescent="0.2">
      <c r="A78" s="39" t="s">
        <v>78</v>
      </c>
      <c r="B78" s="30"/>
      <c r="C78" s="30"/>
      <c r="D78" s="31"/>
      <c r="E78" s="31"/>
    </row>
    <row r="79" spans="1:5" ht="30" customHeight="1" x14ac:dyDescent="0.2">
      <c r="A79" s="44" t="s">
        <v>79</v>
      </c>
      <c r="B79" s="45"/>
      <c r="C79" s="45"/>
      <c r="D79" s="46"/>
      <c r="E79" s="46"/>
    </row>
    <row r="80" spans="1:5" ht="16" x14ac:dyDescent="0.2">
      <c r="A80" s="5" t="s">
        <v>12</v>
      </c>
      <c r="B80" s="47" t="s">
        <v>80</v>
      </c>
      <c r="C80" s="48"/>
      <c r="D80" s="31"/>
      <c r="E80" s="2" t="s">
        <v>24</v>
      </c>
    </row>
    <row r="81" spans="1:5" ht="60" customHeight="1" x14ac:dyDescent="0.2">
      <c r="A81" s="12" t="s">
        <v>81</v>
      </c>
      <c r="B81" s="32" t="s">
        <v>106</v>
      </c>
      <c r="C81" s="30"/>
      <c r="D81" s="31"/>
      <c r="E81" s="15">
        <v>5</v>
      </c>
    </row>
    <row r="82" spans="1:5" ht="60" customHeight="1" x14ac:dyDescent="0.2">
      <c r="A82" s="11" t="s">
        <v>82</v>
      </c>
      <c r="B82" s="29"/>
      <c r="C82" s="30"/>
      <c r="D82" s="31"/>
      <c r="E82" s="16">
        <v>8</v>
      </c>
    </row>
    <row r="83" spans="1:5" ht="60" customHeight="1" x14ac:dyDescent="0.2">
      <c r="A83" s="12" t="s">
        <v>83</v>
      </c>
      <c r="B83" s="32" t="s">
        <v>103</v>
      </c>
      <c r="C83" s="30"/>
      <c r="D83" s="31"/>
      <c r="E83" s="17">
        <v>4</v>
      </c>
    </row>
    <row r="84" spans="1:5" x14ac:dyDescent="0.2">
      <c r="A84" s="33" t="s">
        <v>84</v>
      </c>
      <c r="B84" s="34"/>
      <c r="C84" s="34"/>
      <c r="D84" s="35"/>
      <c r="E84" s="4">
        <f>SUM(E81:E83)</f>
        <v>17</v>
      </c>
    </row>
    <row r="85" spans="1:5" ht="30" customHeight="1" x14ac:dyDescent="0.2">
      <c r="A85" s="36"/>
      <c r="B85" s="37"/>
      <c r="C85" s="37"/>
      <c r="D85" s="37"/>
      <c r="E85" s="38"/>
    </row>
    <row r="86" spans="1:5" ht="25" customHeight="1" x14ac:dyDescent="0.2">
      <c r="A86" s="39" t="s">
        <v>85</v>
      </c>
      <c r="B86" s="30"/>
      <c r="C86" s="30"/>
      <c r="D86" s="31"/>
      <c r="E86" s="31"/>
    </row>
    <row r="87" spans="1:5" ht="45" customHeight="1" x14ac:dyDescent="0.2">
      <c r="A87" s="40" t="s">
        <v>86</v>
      </c>
      <c r="B87" s="40"/>
      <c r="C87" s="40"/>
      <c r="D87" s="41"/>
      <c r="E87" s="41"/>
    </row>
    <row r="88" spans="1:5" ht="16" x14ac:dyDescent="0.2">
      <c r="A88" s="26" t="s">
        <v>87</v>
      </c>
      <c r="B88" s="27"/>
      <c r="C88" s="27"/>
      <c r="D88" s="28"/>
      <c r="E88" s="2" t="s">
        <v>24</v>
      </c>
    </row>
    <row r="89" spans="1:5" x14ac:dyDescent="0.2">
      <c r="A89" s="27" t="s">
        <v>88</v>
      </c>
      <c r="B89" s="27"/>
      <c r="C89" s="27"/>
      <c r="D89" s="28"/>
      <c r="E89" s="19">
        <f>E76</f>
        <v>13.962264150943398</v>
      </c>
    </row>
    <row r="90" spans="1:5" x14ac:dyDescent="0.2">
      <c r="A90" s="27" t="s">
        <v>89</v>
      </c>
      <c r="B90" s="27"/>
      <c r="C90" s="27"/>
      <c r="D90" s="28"/>
      <c r="E90" s="18">
        <f>E84</f>
        <v>17</v>
      </c>
    </row>
    <row r="91" spans="1:5" x14ac:dyDescent="0.2">
      <c r="A91" s="26" t="s">
        <v>90</v>
      </c>
      <c r="B91" s="27"/>
      <c r="C91" s="27"/>
      <c r="D91" s="28"/>
      <c r="E91" s="20">
        <f>IF(NOT(COUNTIF(D14:D18, TRUE)=ROWS(D14:D18)), 0, IF(OR(E89&lt;10,E90&lt;10), 7, ROUND((E89+E90)/2,0)))</f>
        <v>15</v>
      </c>
    </row>
  </sheetData>
  <sheetProtection algorithmName="SHA-512" hashValue="cAunLLpdyMoBD+xK+tJyrdURr6tqiDRkIWRB6Wh8eoQIwZVrxM+SGbcO5TsUmoFCgZ+ZqefaqPlOjavdkKFnDw==" saltValue="RHpBnSY55Pnn+IQw3Jhkiw==" spinCount="100000" sheet="1" objects="1" scenarios="1"/>
  <protectedRanges>
    <protectedRange sqref="B14:D18" name="Range1"/>
    <protectedRange sqref="B23:D75" name="Range2"/>
    <protectedRange sqref="B81:E83" name="Range3"/>
  </protectedRanges>
  <mergeCells count="48">
    <mergeCell ref="B9:C9"/>
    <mergeCell ref="A1:E1"/>
    <mergeCell ref="A2:E2"/>
    <mergeCell ref="A3:E3"/>
    <mergeCell ref="B4:C4"/>
    <mergeCell ref="D4:E8"/>
    <mergeCell ref="B5:C5"/>
    <mergeCell ref="B6:C6"/>
    <mergeCell ref="B7:C7"/>
    <mergeCell ref="B8:C8"/>
    <mergeCell ref="A31:A38"/>
    <mergeCell ref="A10:E10"/>
    <mergeCell ref="A11:E11"/>
    <mergeCell ref="A12:E12"/>
    <mergeCell ref="B13:C13"/>
    <mergeCell ref="E13:E18"/>
    <mergeCell ref="B14:C14"/>
    <mergeCell ref="B15:C15"/>
    <mergeCell ref="B16:C16"/>
    <mergeCell ref="B17:C17"/>
    <mergeCell ref="B18:C18"/>
    <mergeCell ref="A23:A27"/>
    <mergeCell ref="A19:E19"/>
    <mergeCell ref="A20:E20"/>
    <mergeCell ref="A21:E21"/>
    <mergeCell ref="A28:A30"/>
    <mergeCell ref="B81:D81"/>
    <mergeCell ref="A39:A45"/>
    <mergeCell ref="A46:A53"/>
    <mergeCell ref="A54:A61"/>
    <mergeCell ref="A62:A66"/>
    <mergeCell ref="A67:A71"/>
    <mergeCell ref="A72:A75"/>
    <mergeCell ref="A76:D76"/>
    <mergeCell ref="A77:E77"/>
    <mergeCell ref="A78:E78"/>
    <mergeCell ref="A79:E79"/>
    <mergeCell ref="B80:D80"/>
    <mergeCell ref="A88:D88"/>
    <mergeCell ref="A89:D89"/>
    <mergeCell ref="A90:D90"/>
    <mergeCell ref="A91:D91"/>
    <mergeCell ref="B82:D82"/>
    <mergeCell ref="B83:D83"/>
    <mergeCell ref="A84:D84"/>
    <mergeCell ref="A85:E85"/>
    <mergeCell ref="A86:E86"/>
    <mergeCell ref="A87:E87"/>
  </mergeCells>
  <conditionalFormatting sqref="A19:E19">
    <cfRule type="expression" dxfId="0" priority="3">
      <formula>NOT(COUNTIF(D14:D18, TRUE)=ROWS(D14:D18))</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CA122DF330504E8DDF1118C388620A" ma:contentTypeVersion="17" ma:contentTypeDescription="Crée un document." ma:contentTypeScope="" ma:versionID="681e69bd6dc47f7f26d95e867675558d">
  <xsd:schema xmlns:xsd="http://www.w3.org/2001/XMLSchema" xmlns:xs="http://www.w3.org/2001/XMLSchema" xmlns:p="http://schemas.microsoft.com/office/2006/metadata/properties" xmlns:ns2="0a342697-6111-499e-81c9-b1da37191110" xmlns:ns3="f0b5bed9-8d01-41b1-a1e6-aae57005c40e" targetNamespace="http://schemas.microsoft.com/office/2006/metadata/properties" ma:root="true" ma:fieldsID="73d69eb1ee2ec29fab0ed32de80a620e" ns2:_="" ns3:_="">
    <xsd:import namespace="0a342697-6111-499e-81c9-b1da37191110"/>
    <xsd:import namespace="f0b5bed9-8d01-41b1-a1e6-aae57005c40e"/>
    <xsd:element name="properties">
      <xsd:complexType>
        <xsd:sequence>
          <xsd:element name="documentManagement">
            <xsd:complexType>
              <xsd:all>
                <xsd:element ref="ns2:MediaServiceMetadata" minOccurs="0"/>
                <xsd:element ref="ns2:MediaServiceFastMetadata" minOccurs="0"/>
                <xsd:element ref="ns2:Ordre"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342697-6111-499e-81c9-b1da371911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Ordre" ma:index="10" nillable="true" ma:displayName="Ordre" ma:decimals="0" ma:internalName="Ordre">
      <xsd:simpleType>
        <xsd:restriction base="dms:Number"/>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0b6a2ec7-4460-416d-86cb-abc62d7adb7d"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b5bed9-8d01-41b1-a1e6-aae57005c40e"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61233e63-c795-435f-b521-72035c69e17b}" ma:internalName="TaxCatchAll" ma:showField="CatchAllData" ma:web="f0b5bed9-8d01-41b1-a1e6-aae57005c4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rdre xmlns="0a342697-6111-499e-81c9-b1da37191110" xsi:nil="true"/>
    <lcf76f155ced4ddcb4097134ff3c332f xmlns="0a342697-6111-499e-81c9-b1da37191110">
      <Terms xmlns="http://schemas.microsoft.com/office/infopath/2007/PartnerControls"/>
    </lcf76f155ced4ddcb4097134ff3c332f>
    <TaxCatchAll xmlns="f0b5bed9-8d01-41b1-a1e6-aae57005c40e" xsi:nil="true"/>
  </documentManagement>
</p:properties>
</file>

<file path=customXml/itemProps1.xml><?xml version="1.0" encoding="utf-8"?>
<ds:datastoreItem xmlns:ds="http://schemas.openxmlformats.org/officeDocument/2006/customXml" ds:itemID="{63342C72-BEEC-4D80-84E2-4DFF22CD4DDB}">
  <ds:schemaRefs>
    <ds:schemaRef ds:uri="http://schemas.microsoft.com/sharepoint/v3/contenttype/forms"/>
  </ds:schemaRefs>
</ds:datastoreItem>
</file>

<file path=customXml/itemProps2.xml><?xml version="1.0" encoding="utf-8"?>
<ds:datastoreItem xmlns:ds="http://schemas.openxmlformats.org/officeDocument/2006/customXml" ds:itemID="{11163D9F-0266-4C1D-B3B1-749FB24660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342697-6111-499e-81c9-b1da37191110"/>
    <ds:schemaRef ds:uri="f0b5bed9-8d01-41b1-a1e6-aae57005c4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7B3D06-1D9A-4EE7-9073-1F1252C1E3A2}">
  <ds:schemaRefs>
    <ds:schemaRef ds:uri="http://schemas.microsoft.com/office/2006/metadata/properties"/>
    <ds:schemaRef ds:uri="http://purl.org/dc/terms/"/>
    <ds:schemaRef ds:uri="http://www.w3.org/XML/1998/namespace"/>
    <ds:schemaRef ds:uri="http://schemas.openxmlformats.org/package/2006/metadata/core-properties"/>
    <ds:schemaRef ds:uri="http://schemas.microsoft.com/office/infopath/2007/PartnerControls"/>
    <ds:schemaRef ds:uri="0a342697-6111-499e-81c9-b1da37191110"/>
    <ds:schemaRef ds:uri="http://schemas.microsoft.com/office/2006/documentManagement/types"/>
    <ds:schemaRef ds:uri="f0b5bed9-8d01-41b1-a1e6-aae57005c40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Grille EVAL_V1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Michele</cp:lastModifiedBy>
  <cp:revision/>
  <dcterms:created xsi:type="dcterms:W3CDTF">2025-10-17T19:40:52Z</dcterms:created>
  <dcterms:modified xsi:type="dcterms:W3CDTF">2025-11-17T13:10:50Z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0x010100A5CA122DF330504E8DDF1118C388620A</vt:lpwstr>
  </property>
  <property fmtid="{D5CDD505-2E9C-101B-9397-08002B2CF9AE}" pid="3" name="MediaServiceImageTags">
    <vt:lpwstr/>
  </property>
</Properties>
</file>