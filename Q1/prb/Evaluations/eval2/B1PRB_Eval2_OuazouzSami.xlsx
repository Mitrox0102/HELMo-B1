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filterPrivacy="1" defaultThemeVersion="124226"/>
  <xr:revisionPtr revIDLastSave="0" documentId="8_{3E1760CC-5CD6-439E-A343-837618817E85}" xr6:coauthVersionLast="47" xr6:coauthVersionMax="47" xr10:uidLastSave="{00000000-0000-0000-0000-000000000000}"/>
  <bookViews>
    <workbookView xWindow="-120" yWindow="-120" windowWidth="29040" windowHeight="18240" xr2:uid="{00000000-000D-0000-FFFF-FFFF00000000}"/>
  </bookViews>
  <sheets>
    <sheet name="EVAL 2" sheetId="2" r:id="rId1"/>
  </sheets>
  <definedNames>
    <definedName name="pct">'EVAL 2'!$A$51:$B$79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2" i="2" l="1"/>
  <c r="E18" i="2"/>
  <c r="D18" i="2"/>
  <c r="C18" i="2"/>
  <c r="E15" i="2" l="1"/>
  <c r="E22" i="2"/>
  <c r="E27" i="2"/>
  <c r="E32" i="2"/>
  <c r="E35" i="2"/>
  <c r="D32" i="2"/>
  <c r="D27" i="2"/>
  <c r="D22" i="2"/>
  <c r="E11" i="2"/>
  <c r="E12" i="2"/>
  <c r="E13" i="2"/>
  <c r="C13" i="2"/>
  <c r="C11" i="2"/>
  <c r="D15" i="2"/>
  <c r="C22" i="2"/>
  <c r="D14" i="2" l="1"/>
  <c r="E14" i="2"/>
  <c r="E2" i="2" l="1"/>
  <c r="E26" i="2" s="1"/>
  <c r="E8" i="2" l="1"/>
  <c r="E41" i="2" s="1"/>
  <c r="D2" i="2" l="1"/>
  <c r="D35" i="2"/>
  <c r="D26" i="2" l="1"/>
  <c r="D8" i="2"/>
  <c r="D41" i="2" l="1"/>
</calcChain>
</file>

<file path=xl/sharedStrings.xml><?xml version="1.0" encoding="utf-8"?>
<sst xmlns="http://schemas.openxmlformats.org/spreadsheetml/2006/main" count="116" uniqueCount="72">
  <si>
    <t>TB</t>
  </si>
  <si>
    <t>Non</t>
  </si>
  <si>
    <t>4. PÉNALITÉS</t>
  </si>
  <si>
    <t>1. RECEVABILITÉ DU TRAVAIL</t>
  </si>
  <si>
    <t>2. ACQUIS D'APPRENTISSAGE (./10)</t>
  </si>
  <si>
    <t>NOTE (./20)</t>
  </si>
  <si>
    <t>3. NIVEAU DE MAITRISE (./10)</t>
  </si>
  <si>
    <t>Appréciations :</t>
  </si>
  <si>
    <t>TB = Très bien, mets parfaitement en œuvre les nouvelles notions</t>
  </si>
  <si>
    <t>B = Bien, mets correctement en œuvre les nouvelles notions, mais peut encore s'améliorer</t>
  </si>
  <si>
    <t>S = Satisfaisant, mets correctement en œuvre les nouvelles notions, mais doit s'améliorer</t>
  </si>
  <si>
    <t>I = Insuffisant, doit s'améliorer sur des points essentiels de la matière</t>
  </si>
  <si>
    <t>TI = Très insuffisant, revois la matière</t>
  </si>
  <si>
    <t>B</t>
  </si>
  <si>
    <t>S</t>
  </si>
  <si>
    <t>I</t>
  </si>
  <si>
    <t>TI</t>
  </si>
  <si>
    <t>Appréciation</t>
  </si>
  <si>
    <t>Pondération</t>
  </si>
  <si>
    <t>Une pénalité est appliquée si :</t>
  </si>
  <si>
    <t>Oui</t>
  </si>
  <si>
    <r>
      <t xml:space="preserve">Pour que les </t>
    </r>
    <r>
      <rPr>
        <b/>
        <i/>
        <sz val="12"/>
        <color theme="0"/>
        <rFont val="Calibri"/>
        <family val="2"/>
        <scheme val="minor"/>
      </rPr>
      <t>acquis d'apprentissage</t>
    </r>
    <r>
      <rPr>
        <i/>
        <sz val="12"/>
        <color theme="0"/>
        <rFont val="Calibri"/>
        <family val="2"/>
        <scheme val="minor"/>
      </rPr>
      <t xml:space="preserve"> soient évalués, le travail doit être recevable.</t>
    </r>
  </si>
  <si>
    <t>Le travail est recevable si :</t>
  </si>
  <si>
    <t>Met en forme le code (indentation et lisibilité).</t>
  </si>
  <si>
    <t>L'encodage des fichiers n'est pas en UTF-8.</t>
  </si>
  <si>
    <t>Presque</t>
  </si>
  <si>
    <t>-</t>
  </si>
  <si>
    <t>Non déclarée</t>
  </si>
  <si>
    <t>Erreur(s) grave(s)</t>
  </si>
  <si>
    <t>Erreur mineure</t>
  </si>
  <si>
    <t>Correcte</t>
  </si>
  <si>
    <t>Aucune</t>
  </si>
  <si>
    <t>Minimum requis</t>
  </si>
  <si>
    <t>Version idéale</t>
  </si>
  <si>
    <t>A SATISFAIT ?</t>
  </si>
  <si>
    <r>
      <t>FONCTIONNALIT</t>
    </r>
    <r>
      <rPr>
        <sz val="13"/>
        <color theme="0"/>
        <rFont val="Calibri"/>
        <family val="2"/>
      </rPr>
      <t>ÉS</t>
    </r>
    <r>
      <rPr>
        <sz val="13"/>
        <color theme="0"/>
        <rFont val="Calibri"/>
        <family val="2"/>
        <scheme val="minor"/>
      </rPr>
      <t xml:space="preserve"> INDISPENSABLES</t>
    </r>
  </si>
  <si>
    <r>
      <t xml:space="preserve">Pour que le </t>
    </r>
    <r>
      <rPr>
        <b/>
        <i/>
        <sz val="12"/>
        <color theme="0"/>
        <rFont val="Calibri"/>
        <family val="2"/>
        <scheme val="minor"/>
      </rPr>
      <t>niveau de maîtrise</t>
    </r>
    <r>
      <rPr>
        <i/>
        <sz val="12"/>
        <color theme="0"/>
        <rFont val="Calibri"/>
        <family val="2"/>
        <scheme val="minor"/>
      </rPr>
      <t xml:space="preserve"> soit évalué, les fonctionnalités indispensables doivent être réussies.</t>
    </r>
  </si>
  <si>
    <t>CLARTÉ DU CODE</t>
  </si>
  <si>
    <t>EFFICACITÉ DU CODE</t>
  </si>
  <si>
    <t>Tests unitaires</t>
  </si>
  <si>
    <t>TESTS UNITAIRES</t>
  </si>
  <si>
    <r>
      <t xml:space="preserve">Le travail a été remis dans le délai imparti.
</t>
    </r>
    <r>
      <rPr>
        <i/>
        <sz val="11"/>
        <color rgb="FFC00000"/>
        <rFont val="Calibri"/>
        <family val="2"/>
        <scheme val="minor"/>
      </rPr>
      <t>Avec les 5 minutes de retard tolérées.</t>
    </r>
  </si>
  <si>
    <r>
      <t xml:space="preserve">Le code source compile.
</t>
    </r>
    <r>
      <rPr>
        <i/>
        <sz val="11"/>
        <color rgb="FFC00000"/>
        <rFont val="Calibri"/>
        <family val="2"/>
        <scheme val="minor"/>
      </rPr>
      <t xml:space="preserve">Aucune erreur n'empêche la compilation du programme. Cependant, si </t>
    </r>
    <r>
      <rPr>
        <b/>
        <i/>
        <sz val="11"/>
        <color rgb="FFC00000"/>
        <rFont val="Calibri"/>
        <family val="2"/>
        <scheme val="minor"/>
      </rPr>
      <t>une seule erreur</t>
    </r>
    <r>
      <rPr>
        <i/>
        <sz val="11"/>
        <color rgb="FFC00000"/>
        <rFont val="Calibri"/>
        <family val="2"/>
        <scheme val="minor"/>
      </rPr>
      <t xml:space="preserve"> est décelée, le correcteur a la possibilité de ne pas appliquer la sanction (moyennant une pénalité) s'il juge cette erreur comme mineure.</t>
    </r>
  </si>
  <si>
    <t>ENSEIGNANT</t>
  </si>
  <si>
    <r>
      <t xml:space="preserve">Dans la classe des </t>
    </r>
    <r>
      <rPr>
        <b/>
        <sz val="12"/>
        <rFont val="Calibri"/>
        <family val="2"/>
        <scheme val="minor"/>
      </rPr>
      <t>tests</t>
    </r>
    <r>
      <rPr>
        <sz val="12"/>
        <rFont val="Calibri"/>
        <family val="2"/>
        <scheme val="minor"/>
      </rPr>
      <t xml:space="preserve"> :</t>
    </r>
  </si>
  <si>
    <r>
      <t xml:space="preserve">Dans la fonction </t>
    </r>
    <r>
      <rPr>
        <b/>
        <i/>
        <sz val="12"/>
        <rFont val="Consolas"/>
        <family val="3"/>
      </rPr>
      <t>main</t>
    </r>
    <r>
      <rPr>
        <sz val="12"/>
        <rFont val="Calibri"/>
        <family val="2"/>
        <scheme val="minor"/>
      </rPr>
      <t xml:space="preserve"> :</t>
    </r>
  </si>
  <si>
    <t>Effectue au moins une fois un appel pertinent de la fonction.</t>
  </si>
  <si>
    <r>
      <t xml:space="preserve">Réalise le traitement attendu dans la fonction </t>
    </r>
    <r>
      <rPr>
        <sz val="11"/>
        <color theme="1"/>
        <rFont val="Consolas"/>
        <family val="3"/>
      </rPr>
      <t>main</t>
    </r>
    <r>
      <rPr>
        <sz val="11"/>
        <color theme="1"/>
        <rFont val="Calibri"/>
        <family val="2"/>
        <scheme val="minor"/>
      </rPr>
      <t xml:space="preserve">.
</t>
    </r>
    <r>
      <rPr>
        <b/>
        <i/>
        <sz val="11"/>
        <color rgb="FFC00000"/>
        <rFont val="Calibri"/>
        <family val="2"/>
        <scheme val="minor"/>
      </rPr>
      <t xml:space="preserve">TB : </t>
    </r>
    <r>
      <rPr>
        <i/>
        <sz val="11"/>
        <color rgb="FFC00000"/>
        <rFont val="Calibri"/>
        <family val="2"/>
        <scheme val="minor"/>
      </rPr>
      <t>le traitement attendu est entièrement implémenté et utilise la fonction à chaque fois que cela s'avère utile.</t>
    </r>
  </si>
  <si>
    <t>100% de couverture</t>
  </si>
  <si>
    <t>FONCTION</t>
  </si>
  <si>
    <t>Dans la classe principale :</t>
  </si>
  <si>
    <t>Fonctionnalités principales</t>
  </si>
  <si>
    <t>FONCTIONNALITÉS PRINCIPALES</t>
  </si>
  <si>
    <t>REMARQUE</t>
  </si>
  <si>
    <r>
      <t xml:space="preserve">Commente son code (les différentes sections de la fonction </t>
    </r>
    <r>
      <rPr>
        <b/>
        <i/>
        <sz val="11"/>
        <color theme="1"/>
        <rFont val="Consolas"/>
        <family val="3"/>
      </rPr>
      <t>main</t>
    </r>
    <r>
      <rPr>
        <sz val="11"/>
        <color theme="1"/>
        <rFont val="Calibri"/>
        <family val="2"/>
        <scheme val="minor"/>
      </rPr>
      <t xml:space="preserve"> et les étapes des traitements les plus complexes).</t>
    </r>
  </si>
  <si>
    <t>Réalise la javadoc de la fonction (description, @param et @return).</t>
  </si>
  <si>
    <r>
      <t xml:space="preserve">Optimise son code.
</t>
    </r>
    <r>
      <rPr>
        <i/>
        <sz val="11"/>
        <color rgb="FFC00000"/>
        <rFont val="Calibri"/>
        <family val="2"/>
        <scheme val="minor"/>
      </rPr>
      <t>Evite de calculer plusieurs fois le même résultat, réalise en le moins d'opérations possibles les traitements, utilise de manière optimale les instructions if, évite les appels de fonction redondants …</t>
    </r>
  </si>
  <si>
    <r>
      <t xml:space="preserve">Produit un code maintenable.
</t>
    </r>
    <r>
      <rPr>
        <i/>
        <sz val="11"/>
        <color rgb="FFC00000"/>
        <rFont val="Calibri"/>
        <family val="2"/>
        <scheme val="minor"/>
      </rPr>
      <t>Exprime la facilité d'adapter le code de l'application : utilisation de constantes ; évite la redondance des traitements…</t>
    </r>
  </si>
  <si>
    <r>
      <t xml:space="preserve">Choisit des identificateurs explicites pour les </t>
    </r>
    <r>
      <rPr>
        <b/>
        <sz val="11"/>
        <color theme="1"/>
        <rFont val="Calibri"/>
        <family val="2"/>
        <scheme val="minor"/>
      </rPr>
      <t>variables</t>
    </r>
    <r>
      <rPr>
        <sz val="11"/>
        <color theme="1"/>
        <rFont val="Calibri"/>
        <family val="2"/>
        <scheme val="minor"/>
      </rPr>
      <t xml:space="preserve"> </t>
    </r>
    <r>
      <rPr>
        <u/>
        <sz val="11"/>
        <color theme="1"/>
        <rFont val="Calibri"/>
        <family val="2"/>
        <scheme val="minor"/>
      </rPr>
      <t>et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 xml:space="preserve">les </t>
    </r>
    <r>
      <rPr>
        <b/>
        <sz val="11"/>
        <rFont val="Calibri"/>
        <family val="2"/>
        <scheme val="minor"/>
      </rPr>
      <t>fonctions des tests unitaires</t>
    </r>
    <r>
      <rPr>
        <sz val="11"/>
        <color theme="1"/>
        <rFont val="Calibri"/>
        <family val="2"/>
        <scheme val="minor"/>
      </rPr>
      <t xml:space="preserve"> en respectant la convention de nommage camelCase.</t>
    </r>
  </si>
  <si>
    <t>ETUDIANT</t>
  </si>
  <si>
    <t>Déclaration de la fonction</t>
  </si>
  <si>
    <r>
      <t xml:space="preserve">Déclare la fonction attendue.
</t>
    </r>
    <r>
      <rPr>
        <b/>
        <i/>
        <sz val="11"/>
        <color rgb="FFC00000"/>
        <rFont val="Calibri"/>
        <family val="2"/>
        <scheme val="minor"/>
      </rPr>
      <t xml:space="preserve">Rmq : </t>
    </r>
    <r>
      <rPr>
        <i/>
        <sz val="11"/>
        <color rgb="FFC00000"/>
        <rFont val="Calibri"/>
        <family val="2"/>
        <scheme val="minor"/>
      </rPr>
      <t xml:space="preserve">si la fonction réalise de l'acquisition, cela équivaut alors à une erreur grave.
</t>
    </r>
    <r>
      <rPr>
        <b/>
        <i/>
        <sz val="11"/>
        <color rgb="FFC00000"/>
        <rFont val="Calibri"/>
        <family val="2"/>
        <scheme val="minor"/>
      </rPr>
      <t xml:space="preserve">Rmq : </t>
    </r>
    <r>
      <rPr>
        <i/>
        <sz val="11"/>
        <color rgb="FFC00000"/>
        <rFont val="Calibri"/>
        <family val="2"/>
        <scheme val="minor"/>
      </rPr>
      <t>si la fonction réalise de l'affichage, alors une pénalité est appliquée (voir la section PÉNALITÉS).</t>
    </r>
  </si>
  <si>
    <t>De l'affichage est réalisé dans une fonction qui ne le requiert pas.</t>
  </si>
  <si>
    <r>
      <t xml:space="preserve">Le travail a été déposé en retard (avec un maximum de 5 minutes de retard).
</t>
    </r>
    <r>
      <rPr>
        <i/>
        <sz val="11"/>
        <color rgb="FFC00000"/>
        <rFont val="Calibri"/>
        <family val="2"/>
        <scheme val="minor"/>
      </rPr>
      <t>L'étudiant n'a pas de justification valable expliquant ce retard.</t>
    </r>
  </si>
  <si>
    <r>
      <t xml:space="preserve">Nombre de consignes non respectées et de modifications nécessaires (que ce soit pour permettre l'exécution du programme ou pour effectuer le test de couverture).
</t>
    </r>
    <r>
      <rPr>
        <i/>
        <sz val="11"/>
        <color rgb="FFC00000"/>
        <rFont val="Calibri"/>
        <family val="2"/>
        <scheme val="minor"/>
      </rPr>
      <t>Fonction manquante, fonction/classe nommée de manière incorrecte, test à désactiver …</t>
    </r>
  </si>
  <si>
    <r>
      <rPr>
        <sz val="12"/>
        <color theme="1"/>
        <rFont val="Calibri"/>
        <family val="2"/>
        <scheme val="minor"/>
      </rPr>
      <t>Le travail est complet.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C00000"/>
        <rFont val="Calibri"/>
        <family val="2"/>
        <scheme val="minor"/>
      </rPr>
      <t>Tous les fichiers attendus sont présents dans le projet.</t>
    </r>
  </si>
  <si>
    <r>
      <t xml:space="preserve">La couverture de la fonction testée est suffisante.
</t>
    </r>
    <r>
      <rPr>
        <b/>
        <i/>
        <sz val="11"/>
        <color rgb="FFC00000"/>
        <rFont val="Calibri"/>
        <family val="2"/>
        <scheme val="minor"/>
      </rPr>
      <t>Rmq :</t>
    </r>
    <r>
      <rPr>
        <i/>
        <sz val="11"/>
        <color rgb="FFC00000"/>
        <rFont val="Calibri"/>
        <family val="2"/>
        <scheme val="minor"/>
      </rPr>
      <t xml:space="preserve"> si un test n'utilise pas de fonction </t>
    </r>
    <r>
      <rPr>
        <b/>
        <i/>
        <sz val="11"/>
        <color rgb="FFC00000"/>
        <rFont val="Calibri"/>
        <family val="2"/>
        <scheme val="minor"/>
      </rPr>
      <t>assert</t>
    </r>
    <r>
      <rPr>
        <i/>
        <sz val="11"/>
        <color rgb="FFC00000"/>
        <rFont val="Calibri"/>
        <family val="2"/>
        <scheme val="minor"/>
      </rPr>
      <t>, alors ce dernier est désactivé (moyennant une pénalité) avant le test de couverture.</t>
    </r>
  </si>
  <si>
    <r>
      <t xml:space="preserve">La fonction est testée à l'aide de JUnit en couvrant suffisamment de cas de figure.
</t>
    </r>
    <r>
      <rPr>
        <b/>
        <i/>
        <sz val="11"/>
        <color rgb="FFC00000"/>
        <rFont val="Calibri"/>
        <family val="2"/>
        <scheme val="minor"/>
      </rPr>
      <t xml:space="preserve">Rmq : </t>
    </r>
    <r>
      <rPr>
        <i/>
        <sz val="11"/>
        <color rgb="FFC00000"/>
        <rFont val="Calibri"/>
        <family val="2"/>
        <scheme val="minor"/>
      </rPr>
      <t>c'est la qualité des tests qui est évaluée, non leur réussite.</t>
    </r>
    <r>
      <rPr>
        <b/>
        <i/>
        <sz val="11"/>
        <color rgb="FFC00000"/>
        <rFont val="Calibri"/>
        <family val="2"/>
        <scheme val="minor"/>
      </rPr>
      <t xml:space="preserve">
S :</t>
    </r>
    <r>
      <rPr>
        <i/>
        <sz val="11"/>
        <color rgb="FFC00000"/>
        <rFont val="Calibri"/>
        <family val="2"/>
        <scheme val="minor"/>
      </rPr>
      <t xml:space="preserve"> si la fonction est testée sur base d'un seul cas de figure.
</t>
    </r>
    <r>
      <rPr>
        <b/>
        <i/>
        <sz val="11"/>
        <color rgb="FFC00000"/>
        <rFont val="Calibri"/>
        <family val="2"/>
        <scheme val="minor"/>
      </rPr>
      <t>TB :</t>
    </r>
    <r>
      <rPr>
        <i/>
        <sz val="11"/>
        <color rgb="FFC00000"/>
        <rFont val="Calibri"/>
        <family val="2"/>
        <scheme val="minor"/>
      </rPr>
      <t xml:space="preserve"> si la fonction est testée sur base d'au moins trois cas de figure suffisamment dissemblables.</t>
    </r>
  </si>
  <si>
    <t>95 à 99% de couverture</t>
  </si>
  <si>
    <t>90 à 94% de couverture</t>
  </si>
  <si>
    <t>80 à 89% de couverture</t>
  </si>
  <si>
    <t>0 à 79% de couverture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</si>
</sst>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3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0"/>
      <name val="Calibri"/>
      <family val="2"/>
      <scheme val="minor"/>
    </font>
    <font>
      <sz val="15"/>
      <color theme="0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color rgb="FFC00000"/>
      <name val="Calibri"/>
      <family val="2"/>
      <scheme val="minor"/>
    </font>
    <font>
      <sz val="12"/>
      <name val="Calibri"/>
      <family val="2"/>
      <scheme val="minor"/>
    </font>
    <font>
      <i/>
      <sz val="12"/>
      <color theme="0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3"/>
      <color theme="0"/>
      <name val="Calibri"/>
      <family val="2"/>
      <scheme val="minor"/>
    </font>
    <font>
      <b/>
      <i/>
      <sz val="12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2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5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3"/>
      <color theme="0"/>
      <name val="Calibri"/>
      <family val="2"/>
      <scheme val="minor"/>
    </font>
    <font>
      <b/>
      <i/>
      <sz val="13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3"/>
      <color theme="0"/>
      <name val="Calibri"/>
      <family val="2"/>
    </font>
    <font>
      <i/>
      <sz val="13"/>
      <color theme="0"/>
      <name val="Calibri"/>
      <family val="2"/>
      <scheme val="minor"/>
    </font>
    <font>
      <b/>
      <i/>
      <sz val="15"/>
      <color theme="0"/>
      <name val="Calibri"/>
      <family val="2"/>
      <scheme val="minor"/>
    </font>
    <font>
      <b/>
      <i/>
      <sz val="15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1"/>
      <color rgb="FFC00000"/>
      <name val="Calibri"/>
      <family val="2"/>
      <scheme val="minor"/>
    </font>
    <font>
      <sz val="11"/>
      <color theme="1"/>
      <name val="Consolas"/>
      <family val="3"/>
    </font>
    <font>
      <b/>
      <i/>
      <sz val="12"/>
      <name val="Consolas"/>
      <family val="3"/>
    </font>
    <font>
      <i/>
      <sz val="12"/>
      <color theme="9" tint="-0.249977111117893"/>
      <name val="Calibri"/>
      <family val="2"/>
      <scheme val="minor"/>
    </font>
    <font>
      <b/>
      <i/>
      <sz val="11"/>
      <color theme="1"/>
      <name val="Consolas"/>
      <family val="3"/>
    </font>
  </fonts>
  <fills count="10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theme="1" tint="0.499984740745262"/>
        <bgColor indexed="64"/>
      </patternFill>
    </fill>
  </fills>
  <borders count="5">
    <border>
      <left/>
      <right/>
      <top/>
      <bottom/>
      <diagonal/>
    </border>
    <border>
      <left style="thin">
        <color theme="1" tint="0.34998626667073579"/>
      </left>
      <right style="thin">
        <color theme="1" tint="0.34998626667073579"/>
      </right>
      <top/>
      <bottom/>
      <diagonal/>
    </border>
    <border>
      <left style="medium">
        <color theme="4" tint="-0.249977111117893"/>
      </left>
      <right style="medium">
        <color theme="4" tint="-0.249977111117893"/>
      </right>
      <top/>
      <bottom style="thin">
        <color theme="4" tint="-0.249977111117893"/>
      </bottom>
      <diagonal/>
    </border>
    <border>
      <left/>
      <right style="medium">
        <color theme="4" tint="-0.249977111117893"/>
      </right>
      <top/>
      <bottom/>
      <diagonal/>
    </border>
    <border>
      <left style="thin">
        <color theme="1" tint="0.34998626667073579"/>
      </left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6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8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13" fillId="0" borderId="0" xfId="0" applyFont="1" applyAlignment="1">
      <alignment horizontal="left" vertical="center"/>
    </xf>
    <xf numFmtId="49" fontId="13" fillId="0" borderId="0" xfId="1" applyNumberFormat="1" applyFont="1" applyFill="1" applyAlignment="1">
      <alignment horizontal="left" vertical="center"/>
    </xf>
    <xf numFmtId="0" fontId="5" fillId="2" borderId="0" xfId="0" applyFont="1" applyFill="1" applyAlignment="1">
      <alignment vertical="center"/>
    </xf>
    <xf numFmtId="49" fontId="5" fillId="2" borderId="0" xfId="0" applyNumberFormat="1" applyFont="1" applyFill="1" applyAlignment="1">
      <alignment vertical="center"/>
    </xf>
    <xf numFmtId="0" fontId="12" fillId="2" borderId="0" xfId="0" applyFont="1" applyFill="1" applyAlignment="1">
      <alignment vertical="top" wrapText="1"/>
    </xf>
    <xf numFmtId="0" fontId="2" fillId="0" borderId="0" xfId="0" applyFont="1" applyAlignment="1">
      <alignment horizontal="center" vertical="center"/>
    </xf>
    <xf numFmtId="0" fontId="14" fillId="9" borderId="0" xfId="0" applyFont="1" applyFill="1" applyAlignment="1">
      <alignment vertical="center"/>
    </xf>
    <xf numFmtId="0" fontId="22" fillId="9" borderId="0" xfId="0" applyFont="1" applyFill="1" applyAlignment="1">
      <alignment horizontal="center" vertical="center"/>
    </xf>
    <xf numFmtId="0" fontId="0" fillId="3" borderId="0" xfId="0" applyFill="1" applyAlignment="1">
      <alignment vertical="center"/>
    </xf>
    <xf numFmtId="0" fontId="1" fillId="0" borderId="0" xfId="0" applyFont="1" applyAlignment="1">
      <alignment horizontal="left" vertical="center" wrapText="1" indent="1"/>
    </xf>
    <xf numFmtId="0" fontId="4" fillId="2" borderId="0" xfId="0" applyFont="1" applyFill="1" applyAlignment="1">
      <alignment vertical="center"/>
    </xf>
    <xf numFmtId="0" fontId="14" fillId="7" borderId="0" xfId="0" applyFont="1" applyFill="1" applyAlignment="1">
      <alignment vertical="center"/>
    </xf>
    <xf numFmtId="0" fontId="14" fillId="7" borderId="0" xfId="0" applyFont="1" applyFill="1" applyAlignment="1">
      <alignment horizontal="center" vertical="center"/>
    </xf>
    <xf numFmtId="0" fontId="0" fillId="8" borderId="0" xfId="0" applyFill="1" applyAlignment="1">
      <alignment vertical="center"/>
    </xf>
    <xf numFmtId="0" fontId="11" fillId="0" borderId="0" xfId="0" applyFont="1" applyAlignment="1">
      <alignment horizontal="left" vertical="center" wrapText="1" indent="1"/>
    </xf>
    <xf numFmtId="1" fontId="9" fillId="0" borderId="0" xfId="0" applyNumberFormat="1" applyFont="1" applyAlignment="1">
      <alignment horizontal="center" vertical="center"/>
    </xf>
    <xf numFmtId="0" fontId="22" fillId="5" borderId="0" xfId="0" applyFont="1" applyFill="1" applyAlignment="1">
      <alignment vertical="center"/>
    </xf>
    <xf numFmtId="0" fontId="14" fillId="5" borderId="0" xfId="0" applyFont="1" applyFill="1" applyAlignment="1">
      <alignment horizontal="center" vertical="center"/>
    </xf>
    <xf numFmtId="0" fontId="0" fillId="6" borderId="0" xfId="0" applyFill="1" applyAlignment="1">
      <alignment vertical="center"/>
    </xf>
    <xf numFmtId="0" fontId="11" fillId="6" borderId="0" xfId="0" applyFont="1" applyFill="1" applyAlignment="1">
      <alignment horizontal="left" vertical="center" wrapText="1" indent="1"/>
    </xf>
    <xf numFmtId="165" fontId="11" fillId="6" borderId="0" xfId="0" applyNumberFormat="1" applyFont="1" applyFill="1" applyAlignment="1">
      <alignment horizontal="center" vertical="center"/>
    </xf>
    <xf numFmtId="0" fontId="17" fillId="0" borderId="0" xfId="1" applyNumberFormat="1" applyFont="1" applyBorder="1" applyAlignment="1">
      <alignment horizontal="center" vertical="center"/>
    </xf>
    <xf numFmtId="0" fontId="9" fillId="0" borderId="0" xfId="0" applyFont="1" applyAlignment="1">
      <alignment horizontal="left" vertical="center" wrapText="1" indent="1"/>
    </xf>
    <xf numFmtId="0" fontId="19" fillId="7" borderId="0" xfId="0" applyFont="1" applyFill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19" fillId="5" borderId="0" xfId="0" applyFont="1" applyFill="1" applyAlignment="1">
      <alignment vertical="center"/>
    </xf>
    <xf numFmtId="164" fontId="5" fillId="2" borderId="0" xfId="0" applyNumberFormat="1" applyFont="1" applyFill="1" applyAlignment="1">
      <alignment vertical="center"/>
    </xf>
    <xf numFmtId="0" fontId="14" fillId="5" borderId="0" xfId="0" applyFont="1" applyFill="1" applyAlignment="1">
      <alignment vertical="center"/>
    </xf>
    <xf numFmtId="0" fontId="19" fillId="3" borderId="0" xfId="0" applyFont="1" applyFill="1" applyAlignment="1">
      <alignment vertical="center"/>
    </xf>
    <xf numFmtId="0" fontId="0" fillId="0" borderId="0" xfId="0" applyAlignment="1">
      <alignment horizontal="left" vertical="center" wrapText="1" indent="1"/>
    </xf>
    <xf numFmtId="9" fontId="1" fillId="0" borderId="0" xfId="1" applyFont="1" applyBorder="1" applyAlignment="1">
      <alignment horizontal="center" vertical="center"/>
    </xf>
    <xf numFmtId="0" fontId="22" fillId="5" borderId="0" xfId="0" applyFont="1" applyFill="1" applyAlignment="1">
      <alignment horizontal="center" vertical="center"/>
    </xf>
    <xf numFmtId="0" fontId="22" fillId="7" borderId="0" xfId="0" applyFont="1" applyFill="1" applyAlignment="1">
      <alignment vertical="center" wrapText="1"/>
    </xf>
    <xf numFmtId="0" fontId="22" fillId="5" borderId="0" xfId="0" applyFont="1" applyFill="1" applyAlignment="1">
      <alignment vertical="center" wrapText="1"/>
    </xf>
    <xf numFmtId="0" fontId="26" fillId="5" borderId="0" xfId="0" applyFont="1" applyFill="1" applyAlignment="1">
      <alignment vertical="center" wrapText="1"/>
    </xf>
    <xf numFmtId="0" fontId="26" fillId="5" borderId="0" xfId="0" applyFont="1" applyFill="1" applyAlignment="1">
      <alignment vertical="center"/>
    </xf>
    <xf numFmtId="0" fontId="26" fillId="9" borderId="0" xfId="0" applyFont="1" applyFill="1" applyAlignment="1">
      <alignment vertical="center"/>
    </xf>
    <xf numFmtId="0" fontId="27" fillId="2" borderId="1" xfId="0" applyFont="1" applyFill="1" applyBorder="1" applyAlignment="1">
      <alignment horizontal="center" vertical="center"/>
    </xf>
    <xf numFmtId="0" fontId="23" fillId="9" borderId="1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164" fontId="27" fillId="2" borderId="1" xfId="0" applyNumberFormat="1" applyFont="1" applyFill="1" applyBorder="1" applyAlignment="1">
      <alignment horizontal="center" vertical="center"/>
    </xf>
    <xf numFmtId="0" fontId="15" fillId="7" borderId="1" xfId="0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center" vertical="center"/>
    </xf>
    <xf numFmtId="164" fontId="23" fillId="5" borderId="1" xfId="0" applyNumberFormat="1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horizontal="center" vertical="center"/>
    </xf>
    <xf numFmtId="16" fontId="24" fillId="0" borderId="0" xfId="0" applyNumberFormat="1" applyFont="1" applyAlignment="1">
      <alignment horizontal="left" vertical="center"/>
    </xf>
    <xf numFmtId="0" fontId="24" fillId="0" borderId="0" xfId="0" applyFont="1"/>
    <xf numFmtId="0" fontId="20" fillId="3" borderId="0" xfId="0" applyFont="1" applyFill="1" applyAlignment="1">
      <alignment horizontal="left" vertical="center" wrapText="1" indent="1"/>
    </xf>
    <xf numFmtId="1" fontId="9" fillId="3" borderId="0" xfId="0" applyNumberFormat="1" applyFont="1" applyFill="1" applyAlignment="1">
      <alignment horizontal="center" vertical="center"/>
    </xf>
    <xf numFmtId="0" fontId="28" fillId="3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1" fillId="4" borderId="4" xfId="0" applyFont="1" applyFill="1" applyBorder="1" applyAlignment="1">
      <alignment horizontal="center" vertical="center"/>
    </xf>
    <xf numFmtId="0" fontId="33" fillId="0" borderId="3" xfId="0" applyFont="1" applyBorder="1" applyAlignment="1">
      <alignment horizontal="left" vertical="center" wrapText="1"/>
    </xf>
    <xf numFmtId="0" fontId="33" fillId="0" borderId="0" xfId="0" applyFont="1" applyAlignment="1">
      <alignment horizontal="left" vertical="center" wrapText="1"/>
    </xf>
    <xf numFmtId="20" fontId="21" fillId="0" borderId="1" xfId="0" applyNumberFormat="1" applyFont="1" applyBorder="1" applyAlignment="1">
      <alignment horizontal="center" vertical="center"/>
    </xf>
  </cellXfs>
  <cellStyles count="2">
    <cellStyle name="Normal" xfId="0" builtinId="0"/>
    <cellStyle name="Pourcentage" xfId="1" builtinId="5"/>
  </cellStyles>
  <dxfs count="3">
    <dxf>
      <fill>
        <patternFill>
          <bgColor rgb="FFF8A45E"/>
        </patternFill>
      </fill>
      <border>
        <left/>
        <right/>
        <top/>
        <bottom/>
        <vertical/>
        <horizontal/>
      </border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theme="5" tint="-0.499984740745262"/>
      </font>
      <fill>
        <patternFill>
          <bgColor theme="5" tint="0.59996337778862885"/>
        </patternFill>
      </fill>
    </dxf>
  </dxfs>
  <tableStyles count="0" defaultTableStyle="TableStyleMedium9" defaultPivotStyle="PivotStyleLight16"/>
  <colors>
    <mruColors>
      <color rgb="FF0000FF"/>
      <color rgb="FFF8A45E"/>
      <color rgb="FFE6B8B7"/>
      <color rgb="FFFF6565"/>
      <color rgb="FFF68B32"/>
      <color rgb="FFF7EAE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9"/>
  <sheetViews>
    <sheetView tabSelected="1" zoomScaleNormal="100" workbookViewId="0">
      <pane xSplit="3" ySplit="1" topLeftCell="D25" activePane="bottomRight" state="frozen"/>
      <selection pane="topRight" activeCell="D1" sqref="D1"/>
      <selection pane="bottomLeft" activeCell="A2" sqref="A2"/>
      <selection pane="bottomRight" activeCell="F30" sqref="F30"/>
    </sheetView>
  </sheetViews>
  <sheetFormatPr baseColWidth="10" defaultRowHeight="15" x14ac:dyDescent="0.25"/>
  <cols>
    <col min="1" max="1" width="3.28515625" customWidth="1"/>
    <col min="2" max="2" width="80.7109375" customWidth="1"/>
    <col min="3" max="3" width="6.85546875" style="3" bestFit="1" customWidth="1"/>
    <col min="4" max="4" width="25.7109375" style="1" customWidth="1"/>
    <col min="5" max="5" width="25.7109375" customWidth="1"/>
    <col min="6" max="6" width="50.7109375" customWidth="1"/>
  </cols>
  <sheetData>
    <row r="1" spans="1:6" s="2" customFormat="1" ht="31.5" customHeight="1" x14ac:dyDescent="0.25">
      <c r="C1" s="14"/>
      <c r="D1" s="60" t="s">
        <v>59</v>
      </c>
      <c r="E1" s="61" t="s">
        <v>43</v>
      </c>
      <c r="F1" s="61" t="s">
        <v>53</v>
      </c>
    </row>
    <row r="2" spans="1:6" s="4" customFormat="1" ht="32.1" customHeight="1" x14ac:dyDescent="0.3">
      <c r="A2" s="11" t="s">
        <v>3</v>
      </c>
      <c r="B2" s="11"/>
      <c r="C2" s="12"/>
      <c r="D2" s="46" t="str">
        <f>IF(COUNTIF(D5:D7,"Oui")=3,"Oui","Non")</f>
        <v>Oui</v>
      </c>
      <c r="E2" s="46" t="str">
        <f t="shared" ref="E2" si="0">IF(COUNTIF(E5:E7,"Oui")=3,"Oui","Non")</f>
        <v>Oui</v>
      </c>
      <c r="F2" s="46"/>
    </row>
    <row r="3" spans="1:6" s="4" customFormat="1" ht="19.5" x14ac:dyDescent="0.3">
      <c r="A3" s="11"/>
      <c r="B3" s="13" t="s">
        <v>21</v>
      </c>
      <c r="C3" s="12"/>
      <c r="D3" s="46"/>
      <c r="E3" s="46"/>
      <c r="F3" s="46"/>
    </row>
    <row r="4" spans="1:6" s="5" customFormat="1" ht="26.1" customHeight="1" x14ac:dyDescent="0.3">
      <c r="A4" s="15"/>
      <c r="B4" s="45" t="s">
        <v>22</v>
      </c>
      <c r="C4" s="16"/>
      <c r="D4" s="47"/>
      <c r="E4" s="47"/>
      <c r="F4" s="47"/>
    </row>
    <row r="5" spans="1:6" ht="30.75" x14ac:dyDescent="0.25">
      <c r="A5" s="17"/>
      <c r="B5" s="18" t="s">
        <v>41</v>
      </c>
      <c r="D5" s="48" t="s">
        <v>20</v>
      </c>
      <c r="E5" s="48" t="s">
        <v>20</v>
      </c>
      <c r="F5" s="63"/>
    </row>
    <row r="6" spans="1:6" ht="30.75" x14ac:dyDescent="0.25">
      <c r="A6" s="17"/>
      <c r="B6" s="38" t="s">
        <v>65</v>
      </c>
      <c r="D6" s="48" t="s">
        <v>20</v>
      </c>
      <c r="E6" s="48" t="s">
        <v>20</v>
      </c>
      <c r="F6" s="63"/>
    </row>
    <row r="7" spans="1:6" ht="60.75" x14ac:dyDescent="0.25">
      <c r="A7" s="17"/>
      <c r="B7" s="18" t="s">
        <v>42</v>
      </c>
      <c r="D7" s="48" t="s">
        <v>20</v>
      </c>
      <c r="E7" s="48" t="s">
        <v>20</v>
      </c>
      <c r="F7" s="63"/>
    </row>
    <row r="8" spans="1:6" s="4" customFormat="1" ht="32.1" customHeight="1" x14ac:dyDescent="0.3">
      <c r="A8" s="11" t="s">
        <v>4</v>
      </c>
      <c r="B8" s="19"/>
      <c r="C8" s="12"/>
      <c r="D8" s="49">
        <f>IF(D2="Non","Non recevable",D15+D18+D22)</f>
        <v>10</v>
      </c>
      <c r="E8" s="49">
        <f>IF(E2="Non","Non recevable",E15+E18+E22)</f>
        <v>0</v>
      </c>
      <c r="F8" s="49"/>
    </row>
    <row r="9" spans="1:6" s="4" customFormat="1" ht="36.75" customHeight="1" x14ac:dyDescent="0.3">
      <c r="A9" s="11"/>
      <c r="B9" s="13" t="s">
        <v>36</v>
      </c>
      <c r="C9" s="12"/>
      <c r="D9" s="46"/>
      <c r="E9" s="46"/>
      <c r="F9" s="46"/>
    </row>
    <row r="10" spans="1:6" s="6" customFormat="1" ht="23.1" customHeight="1" x14ac:dyDescent="0.3">
      <c r="A10" s="20"/>
      <c r="B10" s="41" t="s">
        <v>35</v>
      </c>
      <c r="C10" s="21"/>
      <c r="D10" s="50"/>
      <c r="E10" s="50"/>
      <c r="F10" s="50"/>
    </row>
    <row r="11" spans="1:6" ht="39.950000000000003" customHeight="1" x14ac:dyDescent="0.25">
      <c r="A11" s="22"/>
      <c r="B11" s="23" t="s">
        <v>60</v>
      </c>
      <c r="C11" s="24">
        <f>COUNTIF($A$15:$A$17,"I")</f>
        <v>1</v>
      </c>
      <c r="D11" s="51">
        <v>1</v>
      </c>
      <c r="E11" s="62">
        <f>ROUND(VLOOKUP(E17,pct,2,FALSE),0)</f>
        <v>0</v>
      </c>
      <c r="F11" s="63"/>
    </row>
    <row r="12" spans="1:6" ht="39.950000000000003" customHeight="1" x14ac:dyDescent="0.25">
      <c r="A12" s="22"/>
      <c r="B12" s="23" t="s">
        <v>39</v>
      </c>
      <c r="C12" s="24">
        <f>COUNTIF(A18:A21,"I")</f>
        <v>1</v>
      </c>
      <c r="D12" s="51">
        <v>1</v>
      </c>
      <c r="E12" s="62">
        <f>ROUND(VLOOKUP(E20,pct,2,FALSE),0)</f>
        <v>0</v>
      </c>
      <c r="F12" s="63"/>
    </row>
    <row r="13" spans="1:6" ht="39.950000000000003" customHeight="1" x14ac:dyDescent="0.25">
      <c r="A13" s="22"/>
      <c r="B13" s="23" t="s">
        <v>51</v>
      </c>
      <c r="C13" s="24">
        <f>COUNTIF(A22:A25,"I")</f>
        <v>1</v>
      </c>
      <c r="D13" s="51">
        <v>1</v>
      </c>
      <c r="E13" s="62">
        <f>ROUND(VLOOKUP(E24,pct,2,FALSE),0)</f>
        <v>0</v>
      </c>
      <c r="F13" s="63"/>
    </row>
    <row r="14" spans="1:6" ht="39.950000000000003" customHeight="1" x14ac:dyDescent="0.25">
      <c r="A14" s="17"/>
      <c r="B14" s="57" t="s">
        <v>34</v>
      </c>
      <c r="C14" s="58"/>
      <c r="D14" s="59" t="str">
        <f>IF(AND(D11=$C11,D12=$C12,D13=$C13),"Oui","Non")</f>
        <v>Oui</v>
      </c>
      <c r="E14" s="59" t="str">
        <f>IF(AND(E11=$C11,E12=$C12,E13=$C13),"Oui","Non")</f>
        <v>Non</v>
      </c>
      <c r="F14" s="59"/>
    </row>
    <row r="15" spans="1:6" s="5" customFormat="1" ht="23.1" customHeight="1" x14ac:dyDescent="0.3">
      <c r="A15" s="25"/>
      <c r="B15" s="42" t="s">
        <v>49</v>
      </c>
      <c r="C15" s="26">
        <v>4</v>
      </c>
      <c r="D15" s="52">
        <f>VLOOKUP(D17,pct,2,FALSE)*$C15</f>
        <v>4</v>
      </c>
      <c r="E15" s="52">
        <f>VLOOKUP(E17,pct,2,FALSE)*$C15</f>
        <v>0</v>
      </c>
      <c r="F15" s="52"/>
    </row>
    <row r="16" spans="1:6" ht="20.100000000000001" customHeight="1" x14ac:dyDescent="0.25">
      <c r="A16" s="27"/>
      <c r="B16" s="28" t="s">
        <v>50</v>
      </c>
      <c r="C16" s="29"/>
      <c r="D16" s="53"/>
      <c r="E16" s="53"/>
      <c r="F16" s="53"/>
    </row>
    <row r="17" spans="1:6" ht="60" x14ac:dyDescent="0.25">
      <c r="A17" s="32" t="s">
        <v>15</v>
      </c>
      <c r="B17" s="31" t="s">
        <v>61</v>
      </c>
      <c r="C17" s="30"/>
      <c r="D17" s="48" t="s">
        <v>30</v>
      </c>
      <c r="E17" s="48" t="s">
        <v>26</v>
      </c>
      <c r="F17" s="63"/>
    </row>
    <row r="18" spans="1:6" s="5" customFormat="1" ht="23.1" customHeight="1" x14ac:dyDescent="0.3">
      <c r="A18" s="25"/>
      <c r="B18" s="42" t="s">
        <v>40</v>
      </c>
      <c r="C18" s="26">
        <f>SUM(C20:C21)</f>
        <v>3</v>
      </c>
      <c r="D18" s="52">
        <f>VLOOKUP(D20,pct,2,FALSE)*$C20+VLOOKUP(D21,pct,2,FALSE)*$C21</f>
        <v>3</v>
      </c>
      <c r="E18" s="52">
        <f>VLOOKUP(E20,pct,2,FALSE)*$C20+VLOOKUP(E21,pct,2,FALSE)*$C21</f>
        <v>0</v>
      </c>
      <c r="F18" s="52"/>
    </row>
    <row r="19" spans="1:6" ht="20.100000000000001" customHeight="1" x14ac:dyDescent="0.25">
      <c r="A19" s="27"/>
      <c r="B19" s="28" t="s">
        <v>44</v>
      </c>
      <c r="C19" s="33"/>
      <c r="D19" s="53"/>
      <c r="E19" s="53"/>
      <c r="F19" s="53"/>
    </row>
    <row r="20" spans="1:6" ht="75" x14ac:dyDescent="0.25">
      <c r="A20" s="32" t="s">
        <v>15</v>
      </c>
      <c r="B20" s="31" t="s">
        <v>67</v>
      </c>
      <c r="C20" s="30">
        <v>1.5</v>
      </c>
      <c r="D20" s="48" t="s">
        <v>0</v>
      </c>
      <c r="E20" s="65" t="s">
        <v>26</v>
      </c>
      <c r="F20" s="63"/>
    </row>
    <row r="21" spans="1:6" ht="45" x14ac:dyDescent="0.25">
      <c r="A21" s="17"/>
      <c r="B21" s="31" t="s">
        <v>66</v>
      </c>
      <c r="C21" s="30">
        <v>1.5</v>
      </c>
      <c r="D21" s="48" t="s">
        <v>48</v>
      </c>
      <c r="E21" s="48" t="s">
        <v>26</v>
      </c>
      <c r="F21" s="64"/>
    </row>
    <row r="22" spans="1:6" ht="23.1" customHeight="1" x14ac:dyDescent="0.25">
      <c r="A22" s="34"/>
      <c r="B22" s="42" t="s">
        <v>52</v>
      </c>
      <c r="C22" s="26">
        <f>SUM(C24:C25)</f>
        <v>3</v>
      </c>
      <c r="D22" s="52">
        <f>VLOOKUP(D24,pct,2,FALSE)*$C24+VLOOKUP(D25,pct,2,FALSE)*$C25</f>
        <v>3</v>
      </c>
      <c r="E22" s="52">
        <f>VLOOKUP(E24,pct,2,FALSE)*$C24+VLOOKUP(E25,pct,2,FALSE)*$C25</f>
        <v>0</v>
      </c>
      <c r="F22" s="52"/>
    </row>
    <row r="23" spans="1:6" ht="20.100000000000001" customHeight="1" x14ac:dyDescent="0.25">
      <c r="A23" s="27"/>
      <c r="B23" s="28" t="s">
        <v>45</v>
      </c>
      <c r="C23" s="33"/>
      <c r="D23" s="53"/>
      <c r="E23" s="53"/>
      <c r="F23" s="53"/>
    </row>
    <row r="24" spans="1:6" ht="15.75" x14ac:dyDescent="0.25">
      <c r="A24" s="32" t="s">
        <v>15</v>
      </c>
      <c r="B24" s="38" t="s">
        <v>46</v>
      </c>
      <c r="C24" s="30">
        <v>1</v>
      </c>
      <c r="D24" s="48" t="s">
        <v>20</v>
      </c>
      <c r="E24" s="48" t="s">
        <v>26</v>
      </c>
      <c r="F24" s="63"/>
    </row>
    <row r="25" spans="1:6" ht="45" x14ac:dyDescent="0.25">
      <c r="A25" s="17"/>
      <c r="B25" s="38" t="s">
        <v>47</v>
      </c>
      <c r="C25" s="30">
        <v>2</v>
      </c>
      <c r="D25" s="48" t="s">
        <v>0</v>
      </c>
      <c r="E25" s="48" t="s">
        <v>26</v>
      </c>
      <c r="F25" s="63"/>
    </row>
    <row r="26" spans="1:6" s="4" customFormat="1" ht="32.1" customHeight="1" x14ac:dyDescent="0.3">
      <c r="A26" s="11" t="s">
        <v>6</v>
      </c>
      <c r="B26" s="19"/>
      <c r="C26" s="35"/>
      <c r="D26" s="49">
        <f>IF(D2="Non","Non recevable",IF(D14&lt;&gt;"Oui","AA insuffisants",D27+D32))</f>
        <v>8.8000000000000007</v>
      </c>
      <c r="E26" s="49" t="str">
        <f>IF(E2="Non","Non recevable",IF(E14&lt;&gt;"Oui","AA insuffisants",E27+E32))</f>
        <v>AA insuffisants</v>
      </c>
      <c r="F26" s="49"/>
    </row>
    <row r="27" spans="1:6" s="6" customFormat="1" ht="23.1" customHeight="1" x14ac:dyDescent="0.3">
      <c r="A27" s="36"/>
      <c r="B27" s="43" t="s">
        <v>37</v>
      </c>
      <c r="C27" s="26">
        <v>6</v>
      </c>
      <c r="D27" s="52">
        <f>(VLOOKUP(D28,pct,2,FALSE)*$C28+VLOOKUP(D29,pct,2,FALSE)*$C29+VLOOKUP(D30,pct,2,FALSE)*$C30+VLOOKUP(D31,pct,2,FALSE)*$C31)*$C27</f>
        <v>5.5500000000000007</v>
      </c>
      <c r="E27" s="52">
        <f>(VLOOKUP(E28,pct,2,FALSE)*$C28+VLOOKUP(E29,pct,2,FALSE)*$C29+VLOOKUP(E30,pct,2,FALSE)*$C30+VLOOKUP(E31,pct,2,FALSE)*$C31)*$C27</f>
        <v>0</v>
      </c>
      <c r="F27" s="52"/>
    </row>
    <row r="28" spans="1:6" ht="20.100000000000001" customHeight="1" x14ac:dyDescent="0.25">
      <c r="A28" s="37"/>
      <c r="B28" s="38" t="s">
        <v>23</v>
      </c>
      <c r="C28" s="39">
        <v>0.2</v>
      </c>
      <c r="D28" s="48" t="s">
        <v>0</v>
      </c>
      <c r="E28" s="48" t="s">
        <v>26</v>
      </c>
      <c r="F28" s="63"/>
    </row>
    <row r="29" spans="1:6" ht="30" x14ac:dyDescent="0.25">
      <c r="A29" s="37"/>
      <c r="B29" s="38" t="s">
        <v>58</v>
      </c>
      <c r="C29" s="39">
        <v>0.4</v>
      </c>
      <c r="D29" s="48" t="s">
        <v>0</v>
      </c>
      <c r="E29" s="48" t="s">
        <v>26</v>
      </c>
      <c r="F29" s="63"/>
    </row>
    <row r="30" spans="1:6" ht="30" x14ac:dyDescent="0.25">
      <c r="A30" s="37"/>
      <c r="B30" s="38" t="s">
        <v>54</v>
      </c>
      <c r="C30" s="39">
        <v>0.1</v>
      </c>
      <c r="D30" s="48" t="s">
        <v>15</v>
      </c>
      <c r="E30" s="48" t="s">
        <v>26</v>
      </c>
      <c r="F30" s="63"/>
    </row>
    <row r="31" spans="1:6" ht="20.100000000000001" customHeight="1" x14ac:dyDescent="0.25">
      <c r="A31" s="37"/>
      <c r="B31" s="38" t="s">
        <v>55</v>
      </c>
      <c r="C31" s="39">
        <v>0.3</v>
      </c>
      <c r="D31" s="48" t="s">
        <v>0</v>
      </c>
      <c r="E31" s="48" t="s">
        <v>26</v>
      </c>
      <c r="F31" s="63"/>
    </row>
    <row r="32" spans="1:6" s="6" customFormat="1" ht="23.1" customHeight="1" x14ac:dyDescent="0.3">
      <c r="A32" s="36"/>
      <c r="B32" s="43" t="s">
        <v>38</v>
      </c>
      <c r="C32" s="26">
        <v>4</v>
      </c>
      <c r="D32" s="52">
        <f>(VLOOKUP(D33,pct,2,FALSE)*$C33+VLOOKUP(D34,pct,2,FALSE)*$C34)*$C32</f>
        <v>3.25</v>
      </c>
      <c r="E32" s="52">
        <f>(VLOOKUP(E33,pct,2,FALSE)*$C33+VLOOKUP(E34,pct,2,FALSE)*$C34)*$C32</f>
        <v>0</v>
      </c>
      <c r="F32" s="52"/>
    </row>
    <row r="33" spans="1:6" ht="60" x14ac:dyDescent="0.25">
      <c r="A33" s="37"/>
      <c r="B33" s="38" t="s">
        <v>56</v>
      </c>
      <c r="C33" s="39">
        <v>0.75</v>
      </c>
      <c r="D33" s="48" t="s">
        <v>13</v>
      </c>
      <c r="E33" s="48" t="s">
        <v>26</v>
      </c>
      <c r="F33" s="63"/>
    </row>
    <row r="34" spans="1:6" ht="45" x14ac:dyDescent="0.25">
      <c r="A34" s="37"/>
      <c r="B34" s="38" t="s">
        <v>57</v>
      </c>
      <c r="C34" s="39">
        <v>0.25</v>
      </c>
      <c r="D34" s="48" t="s">
        <v>0</v>
      </c>
      <c r="E34" s="48" t="s">
        <v>26</v>
      </c>
      <c r="F34" s="63"/>
    </row>
    <row r="35" spans="1:6" s="4" customFormat="1" ht="32.1" customHeight="1" x14ac:dyDescent="0.3">
      <c r="A35" s="11" t="s">
        <v>2</v>
      </c>
      <c r="B35" s="19"/>
      <c r="C35" s="12"/>
      <c r="D35" s="49">
        <f>IF(D37="Oui",-1,0)+IF(D38="Oui",-2,0)+D39*-0.5+IF(D40="Oui",-1,0)</f>
        <v>0</v>
      </c>
      <c r="E35" s="49">
        <f>IF(E37="Oui",-1,0)+IF(E38="Oui",-2,0)+E39*-0.5+IF(E40="Oui",-1,0)</f>
        <v>0</v>
      </c>
      <c r="F35" s="49"/>
    </row>
    <row r="36" spans="1:6" s="5" customFormat="1" ht="23.1" customHeight="1" x14ac:dyDescent="0.3">
      <c r="A36" s="36"/>
      <c r="B36" s="44" t="s">
        <v>19</v>
      </c>
      <c r="C36" s="40"/>
      <c r="D36" s="54"/>
      <c r="E36" s="54"/>
      <c r="F36" s="54"/>
    </row>
    <row r="37" spans="1:6" ht="20.100000000000001" customHeight="1" x14ac:dyDescent="0.25">
      <c r="A37" s="17"/>
      <c r="B37" s="38" t="s">
        <v>24</v>
      </c>
      <c r="C37" s="2"/>
      <c r="D37" s="48" t="s">
        <v>1</v>
      </c>
      <c r="E37" s="48" t="s">
        <v>1</v>
      </c>
      <c r="F37" s="63"/>
    </row>
    <row r="38" spans="1:6" ht="30" x14ac:dyDescent="0.25">
      <c r="A38" s="17"/>
      <c r="B38" s="38" t="s">
        <v>63</v>
      </c>
      <c r="C38" s="2"/>
      <c r="D38" s="48" t="s">
        <v>1</v>
      </c>
      <c r="E38" s="48" t="s">
        <v>1</v>
      </c>
      <c r="F38" s="63"/>
    </row>
    <row r="39" spans="1:6" ht="60" x14ac:dyDescent="0.25">
      <c r="A39" s="17"/>
      <c r="B39" s="38" t="s">
        <v>64</v>
      </c>
      <c r="C39" s="2"/>
      <c r="D39" s="48">
        <v>0</v>
      </c>
      <c r="E39" s="48">
        <v>0</v>
      </c>
      <c r="F39" s="63"/>
    </row>
    <row r="40" spans="1:6" ht="15.75" x14ac:dyDescent="0.25">
      <c r="A40" s="17"/>
      <c r="B40" s="38" t="s">
        <v>62</v>
      </c>
      <c r="C40" s="2"/>
      <c r="D40" s="48" t="s">
        <v>1</v>
      </c>
      <c r="E40" s="48" t="s">
        <v>1</v>
      </c>
      <c r="F40" s="63"/>
    </row>
    <row r="41" spans="1:6" s="4" customFormat="1" ht="32.1" customHeight="1" x14ac:dyDescent="0.3">
      <c r="A41" s="11" t="s">
        <v>5</v>
      </c>
      <c r="B41" s="11"/>
      <c r="C41" s="12"/>
      <c r="D41" s="49">
        <f>MAX(IF(D2="Oui",D8+IF(ISNUMBER(D26),D26,0)+IF(ISNUMBER(D35),D35,0),0),0)</f>
        <v>18.8</v>
      </c>
      <c r="E41" s="49">
        <f>MAX(IF(E2="Oui",E8+IF(ISNUMBER(E26),E26,0)+IF(ISNUMBER(E35),E35,0),0),0)</f>
        <v>0</v>
      </c>
      <c r="F41" s="49"/>
    </row>
    <row r="43" spans="1:6" x14ac:dyDescent="0.25">
      <c r="A43" s="56" t="s">
        <v>7</v>
      </c>
    </row>
    <row r="44" spans="1:6" x14ac:dyDescent="0.25">
      <c r="A44" t="s">
        <v>8</v>
      </c>
    </row>
    <row r="45" spans="1:6" x14ac:dyDescent="0.25">
      <c r="A45" t="s">
        <v>9</v>
      </c>
    </row>
    <row r="46" spans="1:6" x14ac:dyDescent="0.25">
      <c r="A46" t="s">
        <v>10</v>
      </c>
    </row>
    <row r="47" spans="1:6" x14ac:dyDescent="0.25">
      <c r="A47" t="s">
        <v>11</v>
      </c>
    </row>
    <row r="48" spans="1:6" x14ac:dyDescent="0.25">
      <c r="A48" t="s">
        <v>12</v>
      </c>
    </row>
    <row r="50" spans="1:4" x14ac:dyDescent="0.25">
      <c r="A50" s="55" t="s">
        <v>17</v>
      </c>
      <c r="B50" s="55" t="s">
        <v>18</v>
      </c>
      <c r="C50"/>
      <c r="D50"/>
    </row>
    <row r="51" spans="1:4" x14ac:dyDescent="0.25">
      <c r="A51" s="9" t="s">
        <v>0</v>
      </c>
      <c r="B51" s="7">
        <v>1</v>
      </c>
      <c r="C51"/>
      <c r="D51"/>
    </row>
    <row r="52" spans="1:4" x14ac:dyDescent="0.25">
      <c r="A52" s="9" t="s">
        <v>13</v>
      </c>
      <c r="B52" s="8">
        <v>0.75</v>
      </c>
      <c r="C52"/>
      <c r="D52"/>
    </row>
    <row r="53" spans="1:4" x14ac:dyDescent="0.25">
      <c r="A53" s="10" t="s">
        <v>14</v>
      </c>
      <c r="B53" s="8">
        <v>0.5</v>
      </c>
      <c r="C53"/>
      <c r="D53"/>
    </row>
    <row r="54" spans="1:4" x14ac:dyDescent="0.25">
      <c r="A54" s="10" t="s">
        <v>15</v>
      </c>
      <c r="B54" s="7">
        <v>0.25</v>
      </c>
      <c r="C54"/>
      <c r="D54"/>
    </row>
    <row r="55" spans="1:4" x14ac:dyDescent="0.25">
      <c r="A55" s="10" t="s">
        <v>16</v>
      </c>
      <c r="B55" s="8">
        <v>0</v>
      </c>
      <c r="C55"/>
      <c r="D55"/>
    </row>
    <row r="56" spans="1:4" x14ac:dyDescent="0.25">
      <c r="A56" s="10" t="s">
        <v>26</v>
      </c>
      <c r="B56" s="8">
        <v>0</v>
      </c>
      <c r="C56"/>
      <c r="D56"/>
    </row>
    <row r="57" spans="1:4" x14ac:dyDescent="0.25">
      <c r="A57" s="10" t="s">
        <v>48</v>
      </c>
      <c r="B57" s="7">
        <v>1</v>
      </c>
      <c r="C57"/>
      <c r="D57"/>
    </row>
    <row r="58" spans="1:4" x14ac:dyDescent="0.25">
      <c r="A58" s="10" t="s">
        <v>68</v>
      </c>
      <c r="B58" s="8">
        <v>0.75</v>
      </c>
      <c r="C58"/>
      <c r="D58"/>
    </row>
    <row r="59" spans="1:4" x14ac:dyDescent="0.25">
      <c r="A59" s="10" t="s">
        <v>69</v>
      </c>
      <c r="B59" s="8">
        <v>0.5</v>
      </c>
      <c r="C59"/>
      <c r="D59"/>
    </row>
    <row r="60" spans="1:4" x14ac:dyDescent="0.25">
      <c r="A60" s="10" t="s">
        <v>70</v>
      </c>
      <c r="B60" s="7">
        <v>0.25</v>
      </c>
      <c r="C60"/>
      <c r="D60"/>
    </row>
    <row r="61" spans="1:4" x14ac:dyDescent="0.25">
      <c r="A61" s="10" t="s">
        <v>71</v>
      </c>
      <c r="B61" s="8">
        <v>0</v>
      </c>
      <c r="C61"/>
      <c r="D61"/>
    </row>
    <row r="62" spans="1:4" x14ac:dyDescent="0.25">
      <c r="A62" s="10" t="s">
        <v>26</v>
      </c>
      <c r="B62" s="8">
        <v>0</v>
      </c>
      <c r="C62"/>
      <c r="D62"/>
    </row>
    <row r="63" spans="1:4" x14ac:dyDescent="0.25">
      <c r="A63" s="10" t="s">
        <v>33</v>
      </c>
      <c r="B63" s="8">
        <v>1</v>
      </c>
      <c r="C63"/>
      <c r="D63"/>
    </row>
    <row r="64" spans="1:4" x14ac:dyDescent="0.25">
      <c r="A64" s="10" t="s">
        <v>32</v>
      </c>
      <c r="B64" s="8">
        <v>0.5</v>
      </c>
      <c r="C64"/>
      <c r="D64"/>
    </row>
    <row r="65" spans="1:4" x14ac:dyDescent="0.25">
      <c r="A65" s="10" t="s">
        <v>31</v>
      </c>
      <c r="B65" s="8">
        <v>0</v>
      </c>
      <c r="C65"/>
      <c r="D65"/>
    </row>
    <row r="66" spans="1:4" x14ac:dyDescent="0.25">
      <c r="A66" s="10" t="s">
        <v>26</v>
      </c>
      <c r="B66" s="8">
        <v>0</v>
      </c>
      <c r="C66"/>
      <c r="D66"/>
    </row>
    <row r="67" spans="1:4" x14ac:dyDescent="0.25">
      <c r="A67" s="10" t="s">
        <v>30</v>
      </c>
      <c r="B67" s="8">
        <v>1</v>
      </c>
      <c r="C67"/>
      <c r="D67"/>
    </row>
    <row r="68" spans="1:4" x14ac:dyDescent="0.25">
      <c r="A68" s="10" t="s">
        <v>29</v>
      </c>
      <c r="B68" s="8">
        <v>0.75</v>
      </c>
      <c r="C68"/>
      <c r="D68"/>
    </row>
    <row r="69" spans="1:4" x14ac:dyDescent="0.25">
      <c r="A69" s="10" t="s">
        <v>28</v>
      </c>
      <c r="B69" s="8">
        <v>0</v>
      </c>
      <c r="C69"/>
      <c r="D69"/>
    </row>
    <row r="70" spans="1:4" x14ac:dyDescent="0.25">
      <c r="A70" s="10" t="s">
        <v>27</v>
      </c>
      <c r="B70" s="8">
        <v>0</v>
      </c>
      <c r="C70"/>
      <c r="D70"/>
    </row>
    <row r="71" spans="1:4" x14ac:dyDescent="0.25">
      <c r="A71" s="10" t="s">
        <v>26</v>
      </c>
      <c r="B71" s="8">
        <v>0</v>
      </c>
      <c r="C71"/>
      <c r="D71"/>
    </row>
    <row r="72" spans="1:4" x14ac:dyDescent="0.25">
      <c r="A72" s="10" t="s">
        <v>20</v>
      </c>
      <c r="B72" s="8">
        <v>1</v>
      </c>
      <c r="C72"/>
      <c r="D72"/>
    </row>
    <row r="73" spans="1:4" x14ac:dyDescent="0.25">
      <c r="A73" s="10" t="s">
        <v>1</v>
      </c>
      <c r="B73" s="8">
        <v>0</v>
      </c>
      <c r="C73"/>
      <c r="D73"/>
    </row>
    <row r="74" spans="1:4" x14ac:dyDescent="0.25">
      <c r="A74" s="10" t="s">
        <v>26</v>
      </c>
      <c r="B74" s="8">
        <v>0</v>
      </c>
      <c r="C74"/>
      <c r="D74"/>
    </row>
    <row r="75" spans="1:4" x14ac:dyDescent="0.25">
      <c r="A75" s="10" t="s">
        <v>20</v>
      </c>
      <c r="B75" s="8">
        <v>1</v>
      </c>
      <c r="C75"/>
      <c r="D75"/>
    </row>
    <row r="76" spans="1:4" x14ac:dyDescent="0.25">
      <c r="A76" s="10" t="s">
        <v>25</v>
      </c>
      <c r="B76" s="8">
        <v>0.5</v>
      </c>
      <c r="C76"/>
      <c r="D76"/>
    </row>
    <row r="77" spans="1:4" x14ac:dyDescent="0.25">
      <c r="A77" s="10" t="s">
        <v>1</v>
      </c>
      <c r="B77" s="8">
        <v>0</v>
      </c>
      <c r="C77"/>
      <c r="D77"/>
    </row>
    <row r="78" spans="1:4" x14ac:dyDescent="0.25">
      <c r="A78" s="10" t="s">
        <v>26</v>
      </c>
      <c r="B78" s="8">
        <v>0</v>
      </c>
      <c r="C78"/>
      <c r="D78"/>
    </row>
    <row r="79" spans="1:4" x14ac:dyDescent="0.25">
      <c r="A79" s="8">
        <v>0</v>
      </c>
      <c r="B79" s="8">
        <v>0</v>
      </c>
      <c r="C79"/>
      <c r="D79"/>
    </row>
  </sheetData>
  <phoneticPr fontId="16" type="noConversion"/>
  <conditionalFormatting sqref="D11:E13">
    <cfRule type="cellIs" dxfId="2" priority="154" operator="lessThan">
      <formula>$C11</formula>
    </cfRule>
    <cfRule type="cellIs" dxfId="1" priority="155" operator="equal">
      <formula>$C11</formula>
    </cfRule>
  </conditionalFormatting>
  <conditionalFormatting sqref="F14:F16 D14:E34 F18:F19 F22:F23 F26:F27 F32">
    <cfRule type="cellIs" dxfId="0" priority="20" operator="equal">
      <formula>"-"</formula>
    </cfRule>
  </conditionalFormatting>
  <dataValidations count="9">
    <dataValidation type="list" allowBlank="1" showInputMessage="1" showErrorMessage="1" sqref="D37:E38 D40:E40" xr:uid="{00000000-0002-0000-0000-000000000000}">
      <formula1>"Oui,Non"</formula1>
    </dataValidation>
    <dataValidation type="list" allowBlank="1" showInputMessage="1" showErrorMessage="1" sqref="D5:E7" xr:uid="{0005EB90-3680-45CD-9CC8-66A650A39E0E}">
      <formula1>"Non,Oui"</formula1>
    </dataValidation>
    <dataValidation type="whole" operator="greaterThanOrEqual" allowBlank="1" showInputMessage="1" showErrorMessage="1" sqref="D39:E39" xr:uid="{A7F1E93B-663D-4A96-8525-CC6E15A98A01}">
      <formula1>0</formula1>
    </dataValidation>
    <dataValidation type="list" allowBlank="1" showInputMessage="1" showErrorMessage="1" sqref="D14:F14" xr:uid="{5E7C9048-23DD-4CEC-B756-F1FE5CF99DB8}">
      <formula1>"-,Non,Oui"</formula1>
    </dataValidation>
    <dataValidation type="list" allowBlank="1" showInputMessage="1" showErrorMessage="1" sqref="D21:E21" xr:uid="{F27AD469-EA5C-4CFC-BC90-7C471072C953}">
      <formula1>$A$57:$A$62</formula1>
    </dataValidation>
    <dataValidation type="list" allowBlank="1" showInputMessage="1" showErrorMessage="1" sqref="D21:E21" xr:uid="{34A7B050-F7F1-4CC9-A2B1-00D2A40CA426}">
      <formula1>"100% de couverture,De 90 à 99% de couverture,De 80 à 89% de couverture,De 1 à 79% de couverture,0% de couverture,-"</formula1>
    </dataValidation>
    <dataValidation type="list" allowBlank="1" showInputMessage="1" showErrorMessage="1" sqref="D17:E17" xr:uid="{86CA1F3C-DF51-47D0-AD26-549D56A367C5}">
      <formula1>$A$67:$A$71</formula1>
    </dataValidation>
    <dataValidation type="list" allowBlank="1" showInputMessage="1" showErrorMessage="1" sqref="D24:E24" xr:uid="{157472FC-DFF8-4669-8D3C-95C7872D2ED0}">
      <formula1>$A$75:$A$78</formula1>
    </dataValidation>
    <dataValidation type="list" allowBlank="1" showInputMessage="1" showErrorMessage="1" sqref="D28:E31 D25:E25 D33:E34 D20:E20" xr:uid="{9C8BE239-B012-49C0-9AB1-75DFEF481A44}">
      <formula1>$A$51:$A$56</formula1>
    </dataValidation>
  </dataValidations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EVAL 2</vt:lpstr>
      <vt:lpstr>pct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2025-11-20T11:06:58Z</dcterms:modified>
</cp:coreProperties>
</file>